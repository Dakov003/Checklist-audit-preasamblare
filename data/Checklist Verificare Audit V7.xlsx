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iecte\Checklist\"/>
    </mc:Choice>
  </mc:AlternateContent>
  <xr:revisionPtr revIDLastSave="0" documentId="13_ncr:1_{B86311AA-9983-4BA9-B811-224483EA5A9E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Audit Checklist" sheetId="1" r:id="rId1"/>
    <sheet name="Sumar Scor" sheetId="2" r:id="rId2"/>
    <sheet name="Print A4" sheetId="3" r:id="rId3"/>
  </sheets>
  <definedNames>
    <definedName name="_xlnm._FilterDatabase" localSheetId="0" hidden="1">'Audit Checklist'!$A$6:$K$62</definedName>
    <definedName name="_xlnm.Print_Titles" localSheetId="0">'Audit Checklist'!$6:$6</definedName>
    <definedName name="_xlnm.Print_Titles" localSheetId="2">'Print A4'!$9:$9</definedName>
    <definedName name="_xlnm.Print_Area" localSheetId="0">'Audit Checklist'!$A$1:$K$73</definedName>
    <definedName name="_xlnm.Print_Area" localSheetId="2">'Print A4'!$A$1:$G$73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8" i="3" l="1"/>
  <c r="B68" i="3"/>
  <c r="A68" i="3"/>
  <c r="C67" i="3"/>
  <c r="B67" i="3"/>
  <c r="A67" i="3"/>
  <c r="C66" i="3"/>
  <c r="B66" i="3"/>
  <c r="A66" i="3"/>
  <c r="C65" i="3"/>
  <c r="B65" i="3"/>
  <c r="A65" i="3"/>
  <c r="C64" i="3"/>
  <c r="B64" i="3"/>
  <c r="A64" i="3"/>
  <c r="C63" i="3"/>
  <c r="B63" i="3"/>
  <c r="A63" i="3"/>
  <c r="C62" i="3"/>
  <c r="B62" i="3"/>
  <c r="A62" i="3"/>
  <c r="C61" i="3"/>
  <c r="B61" i="3"/>
  <c r="A61" i="3"/>
  <c r="C60" i="3"/>
  <c r="B60" i="3"/>
  <c r="A60" i="3"/>
  <c r="C59" i="3"/>
  <c r="B59" i="3"/>
  <c r="A59" i="3"/>
  <c r="C58" i="3"/>
  <c r="B58" i="3"/>
  <c r="A58" i="3"/>
  <c r="C57" i="3"/>
  <c r="B57" i="3"/>
  <c r="A57" i="3"/>
  <c r="C56" i="3"/>
  <c r="B56" i="3"/>
  <c r="A56" i="3"/>
  <c r="C55" i="3"/>
  <c r="B55" i="3"/>
  <c r="A55" i="3"/>
  <c r="C54" i="3"/>
  <c r="B54" i="3"/>
  <c r="A54" i="3"/>
  <c r="C53" i="3"/>
  <c r="B53" i="3"/>
  <c r="A53" i="3"/>
  <c r="C52" i="3"/>
  <c r="B52" i="3"/>
  <c r="A52" i="3"/>
  <c r="C51" i="3"/>
  <c r="B51" i="3"/>
  <c r="A51" i="3"/>
  <c r="C50" i="3"/>
  <c r="B50" i="3"/>
  <c r="A50" i="3"/>
  <c r="C49" i="3"/>
  <c r="B49" i="3"/>
  <c r="A49" i="3"/>
  <c r="C48" i="3"/>
  <c r="B48" i="3"/>
  <c r="A48" i="3"/>
  <c r="C47" i="3"/>
  <c r="B47" i="3"/>
  <c r="A47" i="3"/>
  <c r="C46" i="3"/>
  <c r="B46" i="3"/>
  <c r="A46" i="3"/>
  <c r="C45" i="3"/>
  <c r="B45" i="3"/>
  <c r="A45" i="3"/>
  <c r="C44" i="3"/>
  <c r="B44" i="3"/>
  <c r="A44" i="3"/>
  <c r="C43" i="3"/>
  <c r="B43" i="3"/>
  <c r="A43" i="3"/>
  <c r="C42" i="3"/>
  <c r="B42" i="3"/>
  <c r="A42" i="3"/>
  <c r="C41" i="3"/>
  <c r="B41" i="3"/>
  <c r="A41" i="3"/>
  <c r="C40" i="3"/>
  <c r="B40" i="3"/>
  <c r="A40" i="3"/>
  <c r="C39" i="3"/>
  <c r="B39" i="3"/>
  <c r="A39" i="3"/>
  <c r="C38" i="3"/>
  <c r="B38" i="3"/>
  <c r="A38" i="3"/>
  <c r="C36" i="3"/>
  <c r="B36" i="3"/>
  <c r="A36" i="3"/>
  <c r="C35" i="3"/>
  <c r="B35" i="3"/>
  <c r="A35" i="3"/>
  <c r="C34" i="3"/>
  <c r="B34" i="3"/>
  <c r="A34" i="3"/>
  <c r="C33" i="3"/>
  <c r="B33" i="3"/>
  <c r="A33" i="3"/>
  <c r="C32" i="3"/>
  <c r="B32" i="3"/>
  <c r="A32" i="3"/>
  <c r="C31" i="3"/>
  <c r="B31" i="3"/>
  <c r="A31" i="3"/>
  <c r="C30" i="3"/>
  <c r="B30" i="3"/>
  <c r="A30" i="3"/>
  <c r="C29" i="3"/>
  <c r="B29" i="3"/>
  <c r="A29" i="3"/>
  <c r="C28" i="3"/>
  <c r="B28" i="3"/>
  <c r="A28" i="3"/>
  <c r="C27" i="3"/>
  <c r="B27" i="3"/>
  <c r="A27" i="3"/>
  <c r="C26" i="3"/>
  <c r="B26" i="3"/>
  <c r="A26" i="3"/>
  <c r="C24" i="3"/>
  <c r="B24" i="3"/>
  <c r="A24" i="3"/>
  <c r="C23" i="3"/>
  <c r="B23" i="3"/>
  <c r="A23" i="3"/>
  <c r="C22" i="3"/>
  <c r="B22" i="3"/>
  <c r="A22" i="3"/>
  <c r="C21" i="3"/>
  <c r="B21" i="3"/>
  <c r="A21" i="3"/>
  <c r="C20" i="3"/>
  <c r="B20" i="3"/>
  <c r="A20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E21" i="2"/>
  <c r="D21" i="2"/>
  <c r="C21" i="2"/>
  <c r="B21" i="2"/>
  <c r="E20" i="2"/>
  <c r="D20" i="2"/>
  <c r="C20" i="2"/>
  <c r="B20" i="2"/>
  <c r="E19" i="2"/>
  <c r="D19" i="2"/>
  <c r="C19" i="2"/>
  <c r="B19" i="2"/>
  <c r="B12" i="2"/>
  <c r="B11" i="2"/>
  <c r="B7" i="2"/>
  <c r="B6" i="2"/>
  <c r="B5" i="2"/>
  <c r="B4" i="2"/>
  <c r="G21" i="2" l="1"/>
  <c r="F21" i="2"/>
  <c r="F20" i="2"/>
  <c r="B9" i="2"/>
  <c r="B10" i="2" s="1"/>
  <c r="B14" i="2" s="1"/>
  <c r="D22" i="2"/>
  <c r="E22" i="2"/>
  <c r="G19" i="2"/>
  <c r="B8" i="2"/>
  <c r="F19" i="2"/>
  <c r="B22" i="2"/>
  <c r="G20" i="2"/>
  <c r="C22" i="2"/>
  <c r="G22" i="2" l="1"/>
  <c r="F22" i="2"/>
</calcChain>
</file>

<file path=xl/sharedStrings.xml><?xml version="1.0" encoding="utf-8"?>
<sst xmlns="http://schemas.openxmlformats.org/spreadsheetml/2006/main" count="200" uniqueCount="133">
  <si>
    <t xml:space="preserve">CHECKLIST AUDIT DE PROCES </t>
  </si>
  <si>
    <t>Aria</t>
  </si>
  <si>
    <t>Data auditului:</t>
  </si>
  <si>
    <t>Auditor:</t>
  </si>
  <si>
    <t>Nr. Masina</t>
  </si>
  <si>
    <t>Schimb:</t>
  </si>
  <si>
    <t>Sef linie / Supervizor:</t>
  </si>
  <si>
    <t>PN</t>
  </si>
  <si>
    <t>Client:</t>
  </si>
  <si>
    <t>Nr.</t>
  </si>
  <si>
    <t>Categorie Audit</t>
  </si>
  <si>
    <t xml:space="preserve">Cerinta Audit </t>
  </si>
  <si>
    <t>Clasificare Risc</t>
  </si>
  <si>
    <t>Status (OK / NOK / N/A)</t>
  </si>
  <si>
    <t>Justificare N/A</t>
  </si>
  <si>
    <t>Observatii / Dovezi Obiective</t>
  </si>
  <si>
    <t xml:space="preserve">Actiune Imediata </t>
  </si>
  <si>
    <t>Responsabil Remediere</t>
  </si>
  <si>
    <t>Termen Remediere</t>
  </si>
  <si>
    <t>Verificare Eficacitate (Data / Rezultat)</t>
  </si>
  <si>
    <t>1. Curatenie si Standardizare (5S)</t>
  </si>
  <si>
    <t>Minor</t>
  </si>
  <si>
    <t>Major</t>
  </si>
  <si>
    <t>2. Stare Tehnica, HMI si Safety (HSE)</t>
  </si>
  <si>
    <t>Insemnul "Caracteristica Importanta" este afisat vizibil pe masina, conform planului de control.</t>
  </si>
  <si>
    <t>Critic</t>
  </si>
  <si>
    <t>Butoanele de pe panou sunt etichetate vizibil, cu text clar in romana.</t>
  </si>
  <si>
    <t>Semafoarele de avertizare functioneaza corect pe toate starile masinii.</t>
  </si>
  <si>
    <t>Ledurile din butoane functioneaza, ca operatorul sa aiba semnal vizual.</t>
  </si>
  <si>
    <t>Safety: protectiile mecanice, barierele optice si butoanele de urgenta sunt montate, intacte si functioneaza.</t>
  </si>
  <si>
    <t>LOTO: la orice interventie se aplica blocarea, dispozitivele exista si oamenii stiu procedura.</t>
  </si>
  <si>
    <t>Echipamentul de protectie este purtat efectiv, conform cerintelor postului.</t>
  </si>
  <si>
    <t>3. Calitate, Trasabilitate si IT</t>
  </si>
  <si>
    <t>Studiile de capabilitate (Cmk / Cpk / Ppk) exista si sunt valabile pentru cotele critice.</t>
  </si>
  <si>
    <t>In SAP este alocata masina corecta pentru avizarea procesului.</t>
  </si>
  <si>
    <t>Numarul de desen al produsului finit din ordinul de productie este acelasi cu cel de pe desenul valabil.</t>
  </si>
  <si>
    <t>Piesele produse corespund ordinului deschis: reperul, lotul si cantitatea raportata coincid cu ce este in lada.</t>
  </si>
  <si>
    <t>Codurile instructiunilor de lucru si de verificare sunt trecute in ordin si actualizate la fel ca pe touchscreen.</t>
  </si>
  <si>
    <t>Lerele si calibrele au eticheta de avizare in termen.</t>
  </si>
  <si>
    <t>Formularele de mentenanta preventiva si verificarile Safety zilnice sunt completate si semnate la zi.</t>
  </si>
  <si>
    <t>Mostrele de defecte vizuale sunt la post, identificate si in termen.</t>
  </si>
  <si>
    <t>Verificarile din timpul productiei se fac la frecventa din planul de verificare si sunt inregistrate complet.</t>
  </si>
  <si>
    <t>Piesa mostra este etichetata conform procedurii si nu are defecte.</t>
  </si>
  <si>
    <t>Avizarea dupa reglaj sau schimbare de reper este documentata, iar piesele din timpul reglajului sunt separate.</t>
  </si>
  <si>
    <t>Materia prima este identificata, FIFO respectat, iar loturile corespund comenzii in lucru.</t>
  </si>
  <si>
    <t>Inregistrarile de calitate se pastreaza cum cere clientul: durata, format, acces.</t>
  </si>
  <si>
    <t>La deviatia parametrilor operatorul stie si aplica reactia: alarma, oprire, separarea materialului din intervalul afectat.</t>
  </si>
  <si>
    <t>Indoire tevi: ovalitate, raze si lipsa fisurilor verificate conform desenului si instructiunii de verificare.</t>
  </si>
  <si>
    <t>Scule dinamometrice calibrate si in termen, program potrivit reperului, rezultate OK/NOK arhivate.</t>
  </si>
  <si>
    <t>La manipulare se protejeaza zonele de etansare si filetele: manusi, fara contact metal-metal, fara asezare directa pe suprafete neprotejate.</t>
  </si>
  <si>
    <t>LEGENDA DE COMPLETARE</t>
  </si>
  <si>
    <t>Celulele cu fond galben se completeaza de catre auditor. Coloanele A-D sunt predefinite si nu se modifica.</t>
  </si>
  <si>
    <t>Status: OK = conform | NOK = neconform | N/A = neaplicabil (obligatoriu se completeaza coloana F - Justificare N/A).</t>
  </si>
  <si>
    <t>Orice NOK impune completarea coloanelor H (actiune imediata de containment), I (responsabil) si J (termen).</t>
  </si>
  <si>
    <t>Un NOK pe un item clasificat Critic blocheaza eliberarea liniei pana la containment aplicat si verificat.</t>
  </si>
  <si>
    <t>Coloana K se completeaza la auditul de urmarire (follow-up), pentru confirmarea eficacitatii actiunii.</t>
  </si>
  <si>
    <t>Scorul si procentul de conformitate se calculeaza automat in foaia Sumar_Scor.</t>
  </si>
  <si>
    <t>Auditor (nume / semnatura):</t>
  </si>
  <si>
    <t>Sef linie / Supervizor (nume / semnatura):</t>
  </si>
  <si>
    <t>Data / Ora finalizare:</t>
  </si>
  <si>
    <t>SUMAR AUDIT - SCOR SI CONFORMITATE</t>
  </si>
  <si>
    <t>REZULTAT GLOBAL</t>
  </si>
  <si>
    <t>Total itemi de audit</t>
  </si>
  <si>
    <t>Itemi evaluati OK</t>
  </si>
  <si>
    <t>Itemi evaluati NOK</t>
  </si>
  <si>
    <t>Itemi N/A</t>
  </si>
  <si>
    <t>Itemi necompletati</t>
  </si>
  <si>
    <t>Baza de evaluare (OK + NOK)</t>
  </si>
  <si>
    <t>Procent de conformitate</t>
  </si>
  <si>
    <t>NOK pe itemi clasificati Critic</t>
  </si>
  <si>
    <t>NOK Major / Minor</t>
  </si>
  <si>
    <t>VERDICT AUDIT</t>
  </si>
  <si>
    <t>DEFALCARE PE CATEGORII</t>
  </si>
  <si>
    <t>Categorie</t>
  </si>
  <si>
    <t>Total</t>
  </si>
  <si>
    <t>OK</t>
  </si>
  <si>
    <t>NOK</t>
  </si>
  <si>
    <t>N/A</t>
  </si>
  <si>
    <t>Necompletat</t>
  </si>
  <si>
    <t>% Conformitate</t>
  </si>
  <si>
    <t>TOTAL</t>
  </si>
  <si>
    <t>REGULI DE SCORARE</t>
  </si>
  <si>
    <t>% Conformitate = itemi OK / (itemi OK + itemi NOK). Itemii N/A si cei necompletati sunt exclusi din baza de calcul.</t>
  </si>
  <si>
    <t>Prag: &gt;= 95% CONFORM | 85-94.9% CONFORM CU OBSERVATII | &lt; 85% NECONFORM.</t>
  </si>
  <si>
    <t>Orice NOK pe un item Critic conduce automat la verdict BLOCAT, indiferent de procentul global.</t>
  </si>
  <si>
    <t>Toate valorile se actualizeaza automat pe masura completarii foii Audit_Checklist.</t>
  </si>
  <si>
    <t>Data auditului</t>
  </si>
  <si>
    <t>Schimb</t>
  </si>
  <si>
    <t>Auditor</t>
  </si>
  <si>
    <t>Client</t>
  </si>
  <si>
    <t>Cerinta Audit</t>
  </si>
  <si>
    <t>Risc</t>
  </si>
  <si>
    <t>Observatii / Actiune imediata</t>
  </si>
  <si>
    <t>Auditor (nume / semnatura)</t>
  </si>
  <si>
    <t>Lada rosie/galbena sa fie curata, golita si cu folie.</t>
  </si>
  <si>
    <t>Carucioare de transport sa fie curate, in stare buna, cu robinetul de scurgere inchis unde exista.</t>
  </si>
  <si>
    <t>Sub masina curat sa fie fara ulei, span sau alte reziduuri tehnologice.</t>
  </si>
  <si>
    <t>Zona de lucru libera sa fie fara scule, suruburi sau materiale uitate pe masina.</t>
  </si>
  <si>
    <t>Mesele de lucru curate sa fie fara rugina, vopsea exfoliata, span sau mizerie.</t>
  </si>
  <si>
    <t>Lazile si Gitterbox-rile pentru piese bune sa fie curate, fara corpuri straine si etichetate corect.</t>
  </si>
  <si>
    <t>Lere si calibre sa fie fara span si mizerie la conectori si segmenti, fara deteriorari sau vopsea, etichete si protectii intacte, TUV-ul de avizare nedeteriorat.</t>
  </si>
  <si>
    <t>Magazia de tevi (loader) sa fie curata, cuiburile fara ulei sau span, profilele Bosch cu chedere montate.</t>
  </si>
  <si>
    <t>Cabluri de alimentare si semnal sa fie curate si intacte, fara izolatie improvizata sau fire la vedere.</t>
  </si>
  <si>
    <t>Traseele de cabluri sa fie fixate conform standardului, niciun cablu nu atarna liber.</t>
  </si>
  <si>
    <t>Cablurile de la panoul de comanda sa fie  protejate de pat pt cabluri.</t>
  </si>
  <si>
    <t>Postul de lucru sa fie  organizat (5S): scule, cutii si dulapuri curate, ordonate si etichetate; fara improvizatii la masini; fara smirghel, buline sau alte abrazive si textile neautorizate.</t>
  </si>
  <si>
    <t>Butoanele sunt intregi, niciunul spart, blocat sau deteriorat.</t>
  </si>
  <si>
    <t>Work-center-ul din ordinul de productie este corect cel pe care se lucreaza.</t>
  </si>
  <si>
    <t>Frecventa de verificare pe sablon/calibru este trecuta corect in ordin, la fel ca in planul de verificare, si se respecta la post.</t>
  </si>
  <si>
    <t>Userii si parolele nu sunt scrise pe hartii sau lasate la vedere la postul de lucru.</t>
  </si>
  <si>
    <t>Prima piesa este la panou, avizata in SAP, cu eticheta de status corecta.</t>
  </si>
  <si>
    <t>Planul de reactie este afisat pe touchscreen si operatorul stie ca se blocheaza lotul de la ultima piesa buna.</t>
  </si>
  <si>
    <t xml:space="preserve">Total NOK: ________    din care Critice: _______ </t>
  </si>
  <si>
    <t>Sistemele de descarcare sa nu fie deteriorate, profilele Bosch cu chedere  montate, canale curate fara span sau ulei.</t>
  </si>
  <si>
    <t>Manometre intregi si functionale, cu valori in limitele din fisa de parametri sau tpm.</t>
  </si>
  <si>
    <t>Iluminarea la posturile de verificare vizuala exista si este functional.</t>
  </si>
  <si>
    <t>Acces la parametri: parole pe niveluri la PLC/HMI, programul incarcat coincide cu ordinul de productie, modificarile sunt inregistrate.</t>
  </si>
  <si>
    <t>PN-ul materiei prime si numarul ordinului sunt trecute corect si se potrivesc cu materia prima aflata la post.</t>
  </si>
  <si>
    <t>Monitorizarea orara este completata si figureaza in ordinul de productie sau in format electronic pe thouchscreen.</t>
  </si>
  <si>
    <t>Oamenii care lucreaza si avizeaza in SAP sunt instruiti si nu apar pe rosu in matricea de calificare.</t>
  </si>
  <si>
    <t>Rebuturile: identificate cu tipul defectului, etichetate, puse in lada rosie, iar defectul vizual marcat cu rosu.</t>
  </si>
  <si>
    <t>Instructiunea de lucru si cea de verificare de la post de lucru sunt la ultima versiune aprobata.</t>
  </si>
  <si>
    <t>Exista studii MSA / R&amp;R valabile pentru mijloacele de masurare(subler, ruleta,cantare, etc), inclusiv lere si calibre avizate de CM.</t>
  </si>
  <si>
    <t>Piesele suspecte sau pt decizie stau in zona de blocate, delimitata si sub control.</t>
  </si>
  <si>
    <t>Lipire:se verifica presiunea de gaz,apa si aer sa fie  conforme, parametrii sa fie dupa fisa,</t>
  </si>
  <si>
    <t>Indoire</t>
  </si>
  <si>
    <t>Silea O,</t>
  </si>
  <si>
    <t>Baza masinii sa fie curata fara span si mizerie.</t>
  </si>
  <si>
    <t>Codurile lerelor, matritelor de gaurire sculelor montate pe masina sunt aceleasi cu cele trecute in ordinul de productie.</t>
  </si>
  <si>
    <t>P1-B15</t>
  </si>
  <si>
    <t>VW</t>
  </si>
  <si>
    <t>Popovici V,</t>
  </si>
  <si>
    <t>31-0000-9121-02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</si>
</sst>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rgb="FF203764"/>
      <name val="Arial"/>
      <family val="2"/>
    </font>
    <font>
      <sz val="10"/>
      <color rgb="FF000000"/>
      <name val="Arial"/>
      <family val="2"/>
    </font>
    <font>
      <b/>
      <sz val="12"/>
      <color rgb="FF20376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3"/>
      <color rgb="FFFFFFFF"/>
      <name val="Arial"/>
      <family val="2"/>
    </font>
    <font>
      <b/>
      <sz val="8"/>
      <color rgb="FF203764"/>
      <name val="Arial"/>
      <family val="2"/>
    </font>
    <font>
      <b/>
      <sz val="9"/>
      <color rgb="FFFFFFFF"/>
      <name val="Arial"/>
      <family val="2"/>
    </font>
    <font>
      <b/>
      <sz val="14"/>
      <color rgb="FF203764"/>
      <name val="Arial"/>
      <family val="2"/>
      <charset val="238"/>
    </font>
    <font>
      <sz val="14"/>
      <name val="Arial"/>
      <family val="2"/>
      <charset val="238"/>
    </font>
    <font>
      <sz val="14"/>
      <color theme="1"/>
      <name val="Calibri"/>
      <family val="2"/>
      <charset val="238"/>
    </font>
    <font>
      <b/>
      <sz val="14"/>
      <name val="Arial"/>
      <family val="2"/>
      <charset val="238"/>
    </font>
    <font>
      <b/>
      <sz val="12"/>
      <color rgb="FF203764"/>
      <name val="Arial"/>
      <family val="2"/>
      <charset val="238"/>
    </font>
    <font>
      <sz val="12"/>
      <color theme="1"/>
      <name val="Calibri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203764"/>
        <bgColor rgb="FF333333"/>
      </patternFill>
    </fill>
    <fill>
      <patternFill patternType="solid">
        <fgColor rgb="FFFFF2CC"/>
        <bgColor rgb="FFF2F2F2"/>
      </patternFill>
    </fill>
    <fill>
      <patternFill patternType="solid">
        <fgColor rgb="FFD9E2F3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theme="0"/>
        <bgColor rgb="FFFFFFFF"/>
      </patternFill>
    </fill>
  </fills>
  <borders count="14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2037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horizontal="center" vertical="top" wrapText="1"/>
    </xf>
    <xf numFmtId="0" fontId="4" fillId="3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horizontal="center" vertical="top" wrapText="1"/>
    </xf>
    <xf numFmtId="0" fontId="4" fillId="5" borderId="2" xfId="0" applyFont="1" applyFill="1" applyBorder="1" applyAlignment="1">
      <alignment vertical="top" wrapText="1"/>
    </xf>
    <xf numFmtId="0" fontId="8" fillId="0" borderId="0" xfId="0" applyFont="1"/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9" fillId="0" borderId="2" xfId="0" applyFont="1" applyBorder="1"/>
    <xf numFmtId="164" fontId="10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164" fontId="3" fillId="4" borderId="2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15" fillId="0" borderId="4" xfId="0" applyFont="1" applyBorder="1" applyAlignment="1">
      <alignment vertical="center" wrapText="1"/>
    </xf>
    <xf numFmtId="0" fontId="0" fillId="0" borderId="0" xfId="0" applyAlignment="1">
      <alignment wrapText="1"/>
    </xf>
    <xf numFmtId="0" fontId="15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wrapText="1"/>
    </xf>
    <xf numFmtId="0" fontId="16" fillId="0" borderId="5" xfId="0" applyFont="1" applyBorder="1" applyAlignment="1">
      <alignment wrapText="1"/>
    </xf>
    <xf numFmtId="0" fontId="16" fillId="0" borderId="6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16" fillId="0" borderId="8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9" xfId="0" applyFont="1" applyBorder="1" applyAlignment="1">
      <alignment wrapText="1"/>
    </xf>
    <xf numFmtId="0" fontId="3" fillId="0" borderId="0" xfId="0" applyFont="1" applyAlignment="1">
      <alignment horizontal="right" vertical="center" wrapText="1"/>
    </xf>
    <xf numFmtId="0" fontId="1" fillId="6" borderId="2" xfId="0" applyFont="1" applyFill="1" applyBorder="1" applyAlignment="1">
      <alignment vertical="top" wrapText="1"/>
    </xf>
    <xf numFmtId="0" fontId="1" fillId="3" borderId="2" xfId="0" applyFont="1" applyFill="1" applyBorder="1" applyAlignment="1">
      <alignment vertical="top" wrapText="1"/>
    </xf>
    <xf numFmtId="14" fontId="4" fillId="3" borderId="2" xfId="0" applyNumberFormat="1" applyFont="1" applyFill="1" applyBorder="1" applyAlignment="1">
      <alignment vertical="top" wrapText="1"/>
    </xf>
    <xf numFmtId="0" fontId="7" fillId="0" borderId="0" xfId="0" applyFont="1" applyAlignment="1">
      <alignment horizontal="left" vertical="center"/>
    </xf>
    <xf numFmtId="0" fontId="0" fillId="3" borderId="1" xfId="0" applyFill="1" applyBorder="1"/>
    <xf numFmtId="0" fontId="10" fillId="4" borderId="2" xfId="0" applyFont="1" applyFill="1" applyBorder="1" applyAlignment="1">
      <alignment horizontal="center" vertical="center" textRotation="180" wrapText="1"/>
    </xf>
    <xf numFmtId="0" fontId="6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4" fillId="3" borderId="1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left" vertical="center"/>
    </xf>
    <xf numFmtId="0" fontId="7" fillId="0" borderId="0" xfId="0" applyFont="1"/>
    <xf numFmtId="0" fontId="10" fillId="0" borderId="1" xfId="0" applyFont="1" applyBorder="1" applyAlignment="1">
      <alignment horizontal="center" vertical="center"/>
    </xf>
    <xf numFmtId="0" fontId="6" fillId="0" borderId="0" xfId="0" applyFont="1"/>
    <xf numFmtId="0" fontId="16" fillId="0" borderId="10" xfId="0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4" fillId="4" borderId="4" xfId="0" applyFont="1" applyFill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14" fillId="0" borderId="9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19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8" fillId="0" borderId="0" xfId="0" applyFont="1" applyAlignment="1">
      <alignment horizontal="left" wrapText="1"/>
    </xf>
    <xf numFmtId="0" fontId="1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7">
    <dxf>
      <font>
        <b/>
        <sz val="12"/>
        <color rgb="FF9C6500"/>
        <name val="Arial"/>
        <charset val="1"/>
      </font>
      <fill>
        <patternFill>
          <bgColor rgb="FFFFEB9C"/>
        </patternFill>
      </fill>
    </dxf>
    <dxf>
      <font>
        <b/>
        <sz val="12"/>
        <color rgb="FF006100"/>
        <name val="Arial"/>
        <charset val="1"/>
      </font>
      <fill>
        <patternFill>
          <bgColor rgb="FFC6EFCE"/>
        </patternFill>
      </fill>
    </dxf>
    <dxf>
      <font>
        <b/>
        <sz val="12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595959"/>
        <name val="Arial"/>
        <charset val="1"/>
      </font>
      <fill>
        <patternFill>
          <bgColor rgb="FFD9D9D9"/>
        </patternFill>
      </fill>
    </dxf>
    <dxf>
      <font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2037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3"/>
  <sheetViews>
    <sheetView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13" sqref="F13"/>
    </sheetView>
  </sheetViews>
  <sheetFormatPr defaultColWidth="8.7109375" defaultRowHeight="15" x14ac:dyDescent="0.25"/>
  <cols>
    <col min="1" max="1" width="7" customWidth="1"/>
    <col min="2" max="2" width="6.7109375" customWidth="1"/>
    <col min="3" max="3" width="84.5703125" customWidth="1"/>
    <col min="4" max="4" width="10.5703125" customWidth="1"/>
    <col min="5" max="5" width="28" customWidth="1"/>
    <col min="6" max="6" width="19.85546875" customWidth="1"/>
    <col min="7" max="7" width="24" customWidth="1"/>
    <col min="8" max="8" width="22" customWidth="1"/>
    <col min="9" max="9" width="29.140625" customWidth="1"/>
    <col min="10" max="10" width="24.5703125" customWidth="1"/>
    <col min="11" max="11" width="32.7109375" customWidth="1"/>
  </cols>
  <sheetData>
    <row r="1" spans="1:11" ht="17.25" customHeight="1" x14ac:dyDescent="0.25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9.5" customHeight="1" x14ac:dyDescent="0.25">
      <c r="A2" s="1" t="s">
        <v>1</v>
      </c>
      <c r="B2" s="43" t="s">
        <v>125</v>
      </c>
      <c r="C2" s="45"/>
      <c r="D2" s="35" t="s">
        <v>2</v>
      </c>
      <c r="E2" s="47">
        <v>46266</v>
      </c>
      <c r="F2" s="45"/>
      <c r="G2" s="1" t="s">
        <v>3</v>
      </c>
      <c r="H2" s="43" t="s">
        <v>126</v>
      </c>
      <c r="I2" s="45"/>
    </row>
    <row r="3" spans="1:11" ht="19.5" customHeight="1" x14ac:dyDescent="0.25">
      <c r="A3" s="1" t="s">
        <v>4</v>
      </c>
      <c r="B3" s="43" t="s">
        <v>129</v>
      </c>
      <c r="C3" s="45"/>
      <c r="D3" s="1" t="s">
        <v>5</v>
      </c>
      <c r="E3" s="45">
        <v>2</v>
      </c>
      <c r="F3" s="45"/>
      <c r="G3" s="1" t="s">
        <v>6</v>
      </c>
      <c r="H3" s="43" t="s">
        <v>131</v>
      </c>
      <c r="I3" s="45"/>
    </row>
    <row r="4" spans="1:11" ht="19.5" customHeight="1" x14ac:dyDescent="0.25">
      <c r="A4" s="1" t="s">
        <v>7</v>
      </c>
      <c r="B4" s="43" t="s">
        <v>132</v>
      </c>
      <c r="C4" s="44"/>
      <c r="D4" s="1" t="s">
        <v>8</v>
      </c>
      <c r="E4" s="43" t="s">
        <v>130</v>
      </c>
      <c r="F4" s="45"/>
      <c r="G4" s="1"/>
      <c r="H4" s="45"/>
      <c r="I4" s="45"/>
    </row>
    <row r="6" spans="1:11" ht="27" customHeight="1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  <c r="K6" s="2" t="s">
        <v>19</v>
      </c>
    </row>
    <row r="7" spans="1:11" ht="26.25" customHeight="1" x14ac:dyDescent="0.25">
      <c r="A7" s="3">
        <v>1</v>
      </c>
      <c r="B7" s="41" t="s">
        <v>20</v>
      </c>
      <c r="C7" s="23" t="s">
        <v>127</v>
      </c>
      <c r="D7" s="3" t="s">
        <v>21</v>
      </c>
      <c r="E7" s="5"/>
      <c r="F7" s="6"/>
      <c r="G7" s="37"/>
      <c r="H7" s="37"/>
      <c r="I7" s="37"/>
      <c r="J7" s="38"/>
      <c r="K7" s="6"/>
    </row>
    <row r="8" spans="1:11" ht="26.25" customHeight="1" x14ac:dyDescent="0.25">
      <c r="A8" s="7">
        <v>2</v>
      </c>
      <c r="B8" s="41"/>
      <c r="C8" s="24" t="s">
        <v>96</v>
      </c>
      <c r="D8" s="7" t="s">
        <v>21</v>
      </c>
      <c r="E8" s="5"/>
      <c r="F8" s="6"/>
      <c r="G8" s="37"/>
      <c r="H8" s="37"/>
      <c r="I8" s="37"/>
      <c r="J8" s="38"/>
      <c r="K8" s="6"/>
    </row>
    <row r="9" spans="1:11" ht="26.25" customHeight="1" x14ac:dyDescent="0.25">
      <c r="A9" s="3">
        <v>3</v>
      </c>
      <c r="B9" s="41"/>
      <c r="C9" s="23" t="s">
        <v>97</v>
      </c>
      <c r="D9" s="3" t="s">
        <v>21</v>
      </c>
      <c r="E9" s="5"/>
      <c r="F9" s="6"/>
      <c r="G9" s="6"/>
      <c r="H9" s="6"/>
      <c r="I9" s="6"/>
      <c r="J9" s="6"/>
      <c r="K9" s="6"/>
    </row>
    <row r="10" spans="1:11" ht="26.25" customHeight="1" x14ac:dyDescent="0.25">
      <c r="A10" s="7">
        <v>4</v>
      </c>
      <c r="B10" s="41"/>
      <c r="C10" s="24" t="s">
        <v>98</v>
      </c>
      <c r="D10" s="7" t="s">
        <v>22</v>
      </c>
      <c r="E10" s="5"/>
      <c r="F10" s="6"/>
      <c r="G10" s="6"/>
      <c r="H10" s="6"/>
      <c r="I10" s="6"/>
      <c r="J10" s="6"/>
      <c r="K10" s="6"/>
    </row>
    <row r="11" spans="1:11" ht="26.25" customHeight="1" x14ac:dyDescent="0.25">
      <c r="A11" s="3">
        <v>5</v>
      </c>
      <c r="B11" s="41"/>
      <c r="C11" s="23" t="s">
        <v>94</v>
      </c>
      <c r="D11" s="3" t="s">
        <v>21</v>
      </c>
      <c r="E11" s="5"/>
      <c r="F11" s="6"/>
      <c r="G11" s="37"/>
      <c r="H11" s="37"/>
      <c r="I11" s="37"/>
      <c r="J11" s="38"/>
      <c r="K11" s="6"/>
    </row>
    <row r="12" spans="1:11" ht="26.25" customHeight="1" x14ac:dyDescent="0.25">
      <c r="A12" s="7">
        <v>6</v>
      </c>
      <c r="B12" s="41"/>
      <c r="C12" s="24" t="s">
        <v>99</v>
      </c>
      <c r="D12" s="7" t="s">
        <v>22</v>
      </c>
      <c r="E12" s="5"/>
      <c r="F12" s="6"/>
      <c r="G12" s="6"/>
      <c r="H12" s="6"/>
      <c r="I12" s="6"/>
      <c r="J12" s="6"/>
      <c r="K12" s="6"/>
    </row>
    <row r="13" spans="1:11" ht="26.25" customHeight="1" x14ac:dyDescent="0.25">
      <c r="A13" s="3">
        <v>7</v>
      </c>
      <c r="B13" s="41"/>
      <c r="C13" s="23" t="s">
        <v>95</v>
      </c>
      <c r="D13" s="3" t="s">
        <v>21</v>
      </c>
      <c r="E13" s="5"/>
      <c r="F13" s="6"/>
      <c r="G13" s="6"/>
      <c r="H13" s="6"/>
      <c r="I13" s="6"/>
      <c r="J13" s="6"/>
      <c r="K13" s="6"/>
    </row>
    <row r="14" spans="1:11" ht="26.25" customHeight="1" x14ac:dyDescent="0.25">
      <c r="A14" s="7">
        <v>8</v>
      </c>
      <c r="B14" s="41"/>
      <c r="C14" s="24" t="s">
        <v>100</v>
      </c>
      <c r="D14" s="7" t="s">
        <v>22</v>
      </c>
      <c r="E14" s="5"/>
      <c r="F14" s="37"/>
      <c r="G14" s="6"/>
      <c r="H14" s="6"/>
      <c r="I14" s="6"/>
      <c r="J14" s="6"/>
      <c r="K14" s="6"/>
    </row>
    <row r="15" spans="1:11" ht="26.25" customHeight="1" x14ac:dyDescent="0.25">
      <c r="A15" s="3">
        <v>9</v>
      </c>
      <c r="B15" s="41"/>
      <c r="C15" s="23" t="s">
        <v>101</v>
      </c>
      <c r="D15" s="3" t="s">
        <v>22</v>
      </c>
      <c r="E15" s="5"/>
      <c r="F15" s="6"/>
      <c r="G15" s="6"/>
      <c r="H15" s="6"/>
      <c r="I15" s="6"/>
      <c r="J15" s="6"/>
      <c r="K15" s="6"/>
    </row>
    <row r="16" spans="1:11" ht="26.25" customHeight="1" x14ac:dyDescent="0.25">
      <c r="A16" s="7">
        <v>10</v>
      </c>
      <c r="B16" s="41"/>
      <c r="C16" s="24" t="s">
        <v>113</v>
      </c>
      <c r="D16" s="7" t="s">
        <v>21</v>
      </c>
      <c r="E16" s="5"/>
      <c r="F16" s="6"/>
      <c r="G16" s="6"/>
      <c r="H16" s="6"/>
      <c r="I16" s="6"/>
      <c r="J16" s="6"/>
      <c r="K16" s="6"/>
    </row>
    <row r="17" spans="1:11" ht="26.25" customHeight="1" x14ac:dyDescent="0.25">
      <c r="A17" s="3">
        <v>11</v>
      </c>
      <c r="B17" s="41"/>
      <c r="C17" s="23" t="s">
        <v>102</v>
      </c>
      <c r="D17" s="3" t="s">
        <v>22</v>
      </c>
      <c r="E17" s="5"/>
      <c r="F17" s="6"/>
      <c r="G17" s="37"/>
      <c r="H17" s="37"/>
      <c r="I17" s="37"/>
      <c r="J17" s="38"/>
      <c r="K17" s="6"/>
    </row>
    <row r="18" spans="1:11" ht="26.25" customHeight="1" x14ac:dyDescent="0.25">
      <c r="A18" s="7">
        <v>12</v>
      </c>
      <c r="B18" s="41"/>
      <c r="C18" s="24" t="s">
        <v>103</v>
      </c>
      <c r="D18" s="7" t="s">
        <v>21</v>
      </c>
      <c r="E18" s="5"/>
      <c r="F18" s="6"/>
      <c r="G18" s="6"/>
      <c r="H18" s="6"/>
      <c r="I18" s="6"/>
      <c r="J18" s="6"/>
      <c r="K18" s="6"/>
    </row>
    <row r="19" spans="1:11" ht="26.25" customHeight="1" x14ac:dyDescent="0.25">
      <c r="A19" s="3">
        <v>13</v>
      </c>
      <c r="B19" s="41"/>
      <c r="C19" s="23" t="s">
        <v>104</v>
      </c>
      <c r="D19" s="3" t="s">
        <v>21</v>
      </c>
      <c r="E19" s="5"/>
      <c r="F19" s="6"/>
      <c r="G19" s="6"/>
      <c r="H19" s="6"/>
      <c r="I19" s="6"/>
      <c r="J19" s="6"/>
      <c r="K19" s="6"/>
    </row>
    <row r="20" spans="1:11" ht="25.5" x14ac:dyDescent="0.25">
      <c r="A20" s="7">
        <v>14</v>
      </c>
      <c r="B20" s="41"/>
      <c r="C20" s="24" t="s">
        <v>105</v>
      </c>
      <c r="D20" s="7" t="s">
        <v>22</v>
      </c>
      <c r="E20" s="5"/>
      <c r="F20" s="6"/>
      <c r="G20" s="37"/>
      <c r="H20" s="6"/>
      <c r="I20" s="37"/>
      <c r="J20" s="38"/>
      <c r="K20" s="6"/>
    </row>
    <row r="21" spans="1:11" ht="26.25" customHeight="1" x14ac:dyDescent="0.25">
      <c r="A21" s="3">
        <v>15</v>
      </c>
      <c r="B21" s="41" t="s">
        <v>23</v>
      </c>
      <c r="C21" s="4" t="s">
        <v>24</v>
      </c>
      <c r="D21" s="3" t="s">
        <v>25</v>
      </c>
      <c r="E21" s="5"/>
      <c r="F21" s="6"/>
      <c r="G21" s="6"/>
      <c r="H21" s="6"/>
      <c r="I21" s="6"/>
      <c r="J21" s="6"/>
      <c r="K21" s="6"/>
    </row>
    <row r="22" spans="1:11" ht="26.25" customHeight="1" x14ac:dyDescent="0.25">
      <c r="A22" s="7">
        <v>16</v>
      </c>
      <c r="B22" s="41"/>
      <c r="C22" s="24" t="s">
        <v>114</v>
      </c>
      <c r="D22" s="7" t="s">
        <v>22</v>
      </c>
      <c r="E22" s="5"/>
      <c r="F22" s="6"/>
      <c r="G22" s="6"/>
      <c r="H22" s="6"/>
      <c r="I22" s="6"/>
      <c r="J22" s="6"/>
      <c r="K22" s="6"/>
    </row>
    <row r="23" spans="1:11" ht="26.25" customHeight="1" x14ac:dyDescent="0.25">
      <c r="A23" s="3">
        <v>17</v>
      </c>
      <c r="B23" s="41"/>
      <c r="C23" s="4" t="s">
        <v>26</v>
      </c>
      <c r="D23" s="3" t="s">
        <v>21</v>
      </c>
      <c r="E23" s="5"/>
      <c r="F23" s="6"/>
      <c r="G23" s="6"/>
      <c r="H23" s="6"/>
      <c r="I23" s="6"/>
      <c r="J23" s="6"/>
      <c r="K23" s="6"/>
    </row>
    <row r="24" spans="1:11" x14ac:dyDescent="0.25">
      <c r="A24" s="7">
        <v>18</v>
      </c>
      <c r="B24" s="41"/>
      <c r="C24" s="24" t="s">
        <v>106</v>
      </c>
      <c r="D24" s="7" t="s">
        <v>22</v>
      </c>
      <c r="E24" s="5"/>
      <c r="F24" s="6"/>
      <c r="G24" s="37"/>
      <c r="H24" s="37"/>
      <c r="I24" s="37"/>
      <c r="J24" s="38"/>
      <c r="K24" s="37"/>
    </row>
    <row r="25" spans="1:11" ht="26.25" customHeight="1" x14ac:dyDescent="0.25">
      <c r="A25" s="3">
        <v>19</v>
      </c>
      <c r="B25" s="41"/>
      <c r="C25" s="4" t="s">
        <v>27</v>
      </c>
      <c r="D25" s="3" t="s">
        <v>22</v>
      </c>
      <c r="E25" s="5"/>
      <c r="F25" s="37"/>
      <c r="G25" s="6"/>
      <c r="H25" s="6"/>
      <c r="I25" s="6"/>
      <c r="J25" s="6"/>
      <c r="K25" s="6"/>
    </row>
    <row r="26" spans="1:11" ht="26.25" customHeight="1" x14ac:dyDescent="0.25">
      <c r="A26" s="7">
        <v>20</v>
      </c>
      <c r="B26" s="41"/>
      <c r="C26" s="8" t="s">
        <v>28</v>
      </c>
      <c r="D26" s="7" t="s">
        <v>21</v>
      </c>
      <c r="E26" s="5"/>
      <c r="F26" s="6"/>
      <c r="G26" s="6"/>
      <c r="H26" s="6"/>
      <c r="I26" s="6"/>
      <c r="J26" s="6"/>
      <c r="K26" s="6"/>
    </row>
    <row r="27" spans="1:11" ht="26.25" customHeight="1" x14ac:dyDescent="0.25">
      <c r="A27" s="3">
        <v>21</v>
      </c>
      <c r="B27" s="41"/>
      <c r="C27" s="4" t="s">
        <v>29</v>
      </c>
      <c r="D27" s="3" t="s">
        <v>25</v>
      </c>
      <c r="E27" s="5"/>
      <c r="F27" s="6"/>
      <c r="G27" s="6"/>
      <c r="H27" s="6"/>
      <c r="I27" s="6"/>
      <c r="J27" s="6"/>
      <c r="K27" s="6"/>
    </row>
    <row r="28" spans="1:11" ht="26.25" customHeight="1" x14ac:dyDescent="0.25">
      <c r="A28" s="7">
        <v>22</v>
      </c>
      <c r="B28" s="41"/>
      <c r="C28" s="8" t="s">
        <v>30</v>
      </c>
      <c r="D28" s="7" t="s">
        <v>25</v>
      </c>
      <c r="E28" s="5"/>
      <c r="F28" s="6"/>
      <c r="G28" s="6"/>
      <c r="H28" s="6"/>
      <c r="I28" s="6"/>
      <c r="J28" s="6"/>
      <c r="K28" s="6"/>
    </row>
    <row r="29" spans="1:11" ht="26.25" customHeight="1" x14ac:dyDescent="0.25">
      <c r="A29" s="3">
        <v>23</v>
      </c>
      <c r="B29" s="41"/>
      <c r="C29" s="4" t="s">
        <v>31</v>
      </c>
      <c r="D29" s="3" t="s">
        <v>22</v>
      </c>
      <c r="E29" s="5"/>
      <c r="F29" s="6"/>
      <c r="G29" s="6"/>
      <c r="H29" s="6"/>
      <c r="I29" s="6"/>
      <c r="J29" s="6"/>
      <c r="K29" s="6"/>
    </row>
    <row r="30" spans="1:11" ht="26.25" customHeight="1" x14ac:dyDescent="0.25">
      <c r="A30" s="7">
        <v>24</v>
      </c>
      <c r="B30" s="41"/>
      <c r="C30" s="24" t="s">
        <v>115</v>
      </c>
      <c r="D30" s="7" t="s">
        <v>22</v>
      </c>
      <c r="E30" s="5"/>
      <c r="F30" s="6"/>
      <c r="G30" s="37"/>
      <c r="H30" s="37"/>
      <c r="I30" s="37"/>
      <c r="J30" s="6"/>
      <c r="K30" s="6"/>
    </row>
    <row r="31" spans="1:11" ht="26.25" customHeight="1" x14ac:dyDescent="0.25">
      <c r="A31" s="3">
        <v>25</v>
      </c>
      <c r="B31" s="41"/>
      <c r="C31" s="23" t="s">
        <v>116</v>
      </c>
      <c r="D31" s="3" t="s">
        <v>25</v>
      </c>
      <c r="E31" s="5"/>
      <c r="F31" s="6"/>
      <c r="G31" s="6"/>
      <c r="H31" s="6"/>
      <c r="I31" s="6"/>
      <c r="J31" s="6"/>
      <c r="K31" s="6"/>
    </row>
    <row r="32" spans="1:11" ht="26.25" customHeight="1" x14ac:dyDescent="0.25">
      <c r="A32" s="7">
        <v>26</v>
      </c>
      <c r="B32" s="41" t="s">
        <v>32</v>
      </c>
      <c r="C32" s="8" t="s">
        <v>33</v>
      </c>
      <c r="D32" s="7" t="s">
        <v>25</v>
      </c>
      <c r="E32" s="5"/>
      <c r="F32" s="6"/>
      <c r="G32" s="6"/>
      <c r="H32" s="6"/>
      <c r="I32" s="6"/>
      <c r="J32" s="6"/>
      <c r="K32" s="6"/>
    </row>
    <row r="33" spans="1:11" ht="26.25" customHeight="1" x14ac:dyDescent="0.25">
      <c r="A33" s="3">
        <v>27</v>
      </c>
      <c r="B33" s="41"/>
      <c r="C33" s="4" t="s">
        <v>34</v>
      </c>
      <c r="D33" s="3" t="s">
        <v>22</v>
      </c>
      <c r="E33" s="5"/>
      <c r="F33" s="6"/>
      <c r="G33" s="6"/>
      <c r="H33" s="6"/>
      <c r="I33" s="6"/>
      <c r="J33" s="6"/>
      <c r="K33" s="6"/>
    </row>
    <row r="34" spans="1:11" ht="26.25" customHeight="1" x14ac:dyDescent="0.25">
      <c r="A34" s="7">
        <v>28</v>
      </c>
      <c r="B34" s="41"/>
      <c r="C34" s="8" t="s">
        <v>35</v>
      </c>
      <c r="D34" s="7" t="s">
        <v>25</v>
      </c>
      <c r="E34" s="5"/>
      <c r="F34" s="6"/>
      <c r="G34" s="6"/>
      <c r="H34" s="6"/>
      <c r="I34" s="6"/>
      <c r="J34" s="6"/>
      <c r="K34" s="6"/>
    </row>
    <row r="35" spans="1:11" ht="26.25" customHeight="1" x14ac:dyDescent="0.25">
      <c r="A35" s="3">
        <v>29</v>
      </c>
      <c r="B35" s="41"/>
      <c r="C35" s="23" t="s">
        <v>117</v>
      </c>
      <c r="D35" s="3" t="s">
        <v>25</v>
      </c>
      <c r="E35" s="5"/>
      <c r="F35" s="6"/>
      <c r="G35" s="6"/>
      <c r="H35" s="6"/>
      <c r="I35" s="6"/>
      <c r="J35" s="6"/>
      <c r="K35" s="6"/>
    </row>
    <row r="36" spans="1:11" ht="26.25" customHeight="1" x14ac:dyDescent="0.25">
      <c r="A36" s="7">
        <v>30</v>
      </c>
      <c r="B36" s="41"/>
      <c r="C36" s="24" t="s">
        <v>107</v>
      </c>
      <c r="D36" s="7" t="s">
        <v>25</v>
      </c>
      <c r="E36" s="5"/>
      <c r="F36" s="6"/>
      <c r="G36" s="37"/>
      <c r="H36" s="6"/>
      <c r="I36" s="6"/>
      <c r="J36" s="6"/>
      <c r="K36" s="6"/>
    </row>
    <row r="37" spans="1:11" ht="26.25" customHeight="1" x14ac:dyDescent="0.25">
      <c r="A37" s="3">
        <v>31</v>
      </c>
      <c r="B37" s="41"/>
      <c r="C37" s="23" t="s">
        <v>128</v>
      </c>
      <c r="D37" s="3" t="s">
        <v>25</v>
      </c>
      <c r="E37" s="5"/>
      <c r="F37" s="6"/>
      <c r="G37" s="6"/>
      <c r="H37" s="6"/>
      <c r="I37" s="6"/>
      <c r="J37" s="6"/>
      <c r="K37" s="6"/>
    </row>
    <row r="38" spans="1:11" ht="26.25" customHeight="1" x14ac:dyDescent="0.25">
      <c r="A38" s="7">
        <v>32</v>
      </c>
      <c r="B38" s="41"/>
      <c r="C38" s="24" t="s">
        <v>108</v>
      </c>
      <c r="D38" s="7" t="s">
        <v>25</v>
      </c>
      <c r="E38" s="5"/>
      <c r="F38" s="6"/>
      <c r="G38" s="6"/>
      <c r="H38" s="6"/>
      <c r="I38" s="6"/>
      <c r="J38" s="6"/>
      <c r="K38" s="6"/>
    </row>
    <row r="39" spans="1:11" ht="26.25" customHeight="1" x14ac:dyDescent="0.25">
      <c r="A39" s="3">
        <v>33</v>
      </c>
      <c r="B39" s="41"/>
      <c r="C39" s="4" t="s">
        <v>36</v>
      </c>
      <c r="D39" s="3" t="s">
        <v>25</v>
      </c>
      <c r="E39" s="5"/>
      <c r="F39" s="6"/>
      <c r="G39" s="6"/>
      <c r="H39" s="6"/>
      <c r="I39" s="6"/>
      <c r="J39" s="6"/>
      <c r="K39" s="6"/>
    </row>
    <row r="40" spans="1:11" ht="26.25" customHeight="1" x14ac:dyDescent="0.25">
      <c r="A40" s="7">
        <v>34</v>
      </c>
      <c r="B40" s="41"/>
      <c r="C40" s="8" t="s">
        <v>37</v>
      </c>
      <c r="D40" s="7" t="s">
        <v>22</v>
      </c>
      <c r="E40" s="5"/>
      <c r="F40" s="6"/>
      <c r="G40" s="6"/>
      <c r="H40" s="6"/>
      <c r="I40" s="6"/>
      <c r="J40" s="6"/>
      <c r="K40" s="6"/>
    </row>
    <row r="41" spans="1:11" ht="26.25" customHeight="1" x14ac:dyDescent="0.25">
      <c r="A41" s="3">
        <v>35</v>
      </c>
      <c r="B41" s="41"/>
      <c r="C41" s="23" t="s">
        <v>118</v>
      </c>
      <c r="D41" s="3" t="s">
        <v>22</v>
      </c>
      <c r="E41" s="5"/>
      <c r="F41" s="6"/>
      <c r="G41" s="6"/>
      <c r="H41" s="6"/>
      <c r="I41" s="6"/>
      <c r="J41" s="6"/>
      <c r="K41" s="6"/>
    </row>
    <row r="42" spans="1:11" ht="26.25" customHeight="1" x14ac:dyDescent="0.25">
      <c r="A42" s="7">
        <v>36</v>
      </c>
      <c r="B42" s="41"/>
      <c r="C42" s="24" t="s">
        <v>109</v>
      </c>
      <c r="D42" s="7" t="s">
        <v>22</v>
      </c>
      <c r="E42" s="5"/>
      <c r="F42" s="6"/>
      <c r="G42" s="6"/>
      <c r="H42" s="6"/>
      <c r="I42" s="6"/>
      <c r="J42" s="6"/>
      <c r="K42" s="6"/>
    </row>
    <row r="43" spans="1:11" ht="26.25" customHeight="1" x14ac:dyDescent="0.25">
      <c r="A43" s="3">
        <v>37</v>
      </c>
      <c r="B43" s="41"/>
      <c r="C43" s="23" t="s">
        <v>119</v>
      </c>
      <c r="D43" s="3" t="s">
        <v>25</v>
      </c>
      <c r="E43" s="5"/>
      <c r="F43" s="6"/>
      <c r="G43" s="6"/>
      <c r="H43" s="6"/>
      <c r="I43" s="6"/>
      <c r="J43" s="6"/>
      <c r="K43" s="6"/>
    </row>
    <row r="44" spans="1:11" ht="26.25" customHeight="1" x14ac:dyDescent="0.25">
      <c r="A44" s="7">
        <v>38</v>
      </c>
      <c r="B44" s="41"/>
      <c r="C44" s="24" t="s">
        <v>110</v>
      </c>
      <c r="D44" s="7" t="s">
        <v>25</v>
      </c>
      <c r="E44" s="5"/>
      <c r="F44" s="6"/>
      <c r="G44" s="6"/>
      <c r="H44" s="6"/>
      <c r="I44" s="6"/>
      <c r="J44" s="6"/>
      <c r="K44" s="6"/>
    </row>
    <row r="45" spans="1:11" ht="26.25" customHeight="1" x14ac:dyDescent="0.25">
      <c r="A45" s="3">
        <v>39</v>
      </c>
      <c r="B45" s="41"/>
      <c r="C45" s="4" t="s">
        <v>38</v>
      </c>
      <c r="D45" s="3" t="s">
        <v>25</v>
      </c>
      <c r="E45" s="5"/>
      <c r="F45" s="6"/>
      <c r="G45" s="6"/>
      <c r="H45" s="6"/>
      <c r="I45" s="6"/>
      <c r="J45" s="6"/>
      <c r="K45" s="6"/>
    </row>
    <row r="46" spans="1:11" ht="26.25" customHeight="1" x14ac:dyDescent="0.25">
      <c r="A46" s="7">
        <v>40</v>
      </c>
      <c r="B46" s="41"/>
      <c r="C46" s="8" t="s">
        <v>39</v>
      </c>
      <c r="D46" s="7" t="s">
        <v>22</v>
      </c>
      <c r="E46" s="5"/>
      <c r="F46" s="6"/>
      <c r="G46" s="6"/>
      <c r="H46" s="6"/>
      <c r="I46" s="6"/>
      <c r="J46" s="6"/>
      <c r="K46" s="6"/>
    </row>
    <row r="47" spans="1:11" ht="26.25" customHeight="1" x14ac:dyDescent="0.25">
      <c r="A47" s="3">
        <v>41</v>
      </c>
      <c r="B47" s="41"/>
      <c r="C47" s="23" t="s">
        <v>120</v>
      </c>
      <c r="D47" s="3" t="s">
        <v>25</v>
      </c>
      <c r="E47" s="5"/>
      <c r="F47" s="6"/>
      <c r="G47" s="6"/>
      <c r="H47" s="6"/>
      <c r="I47" s="6"/>
      <c r="J47" s="6"/>
      <c r="K47" s="6"/>
    </row>
    <row r="48" spans="1:11" ht="26.25" customHeight="1" x14ac:dyDescent="0.25">
      <c r="A48" s="7">
        <v>42</v>
      </c>
      <c r="B48" s="41"/>
      <c r="C48" s="24" t="s">
        <v>121</v>
      </c>
      <c r="D48" s="7" t="s">
        <v>25</v>
      </c>
      <c r="E48" s="5"/>
      <c r="F48" s="6"/>
      <c r="G48" s="6"/>
      <c r="H48" s="6"/>
      <c r="I48" s="6"/>
      <c r="J48" s="6"/>
      <c r="K48" s="6"/>
    </row>
    <row r="49" spans="1:11" ht="26.25" customHeight="1" x14ac:dyDescent="0.25">
      <c r="A49" s="3">
        <v>43</v>
      </c>
      <c r="B49" s="41"/>
      <c r="C49" s="4" t="s">
        <v>40</v>
      </c>
      <c r="D49" s="3" t="s">
        <v>22</v>
      </c>
      <c r="E49" s="5"/>
      <c r="F49" s="6"/>
      <c r="G49" s="6"/>
      <c r="H49" s="6"/>
      <c r="I49" s="6"/>
      <c r="J49" s="6"/>
      <c r="K49" s="6"/>
    </row>
    <row r="50" spans="1:11" ht="26.25" customHeight="1" x14ac:dyDescent="0.25">
      <c r="A50" s="7">
        <v>44</v>
      </c>
      <c r="B50" s="41"/>
      <c r="C50" s="24" t="s">
        <v>122</v>
      </c>
      <c r="D50" s="7" t="s">
        <v>22</v>
      </c>
      <c r="E50" s="5"/>
      <c r="F50" s="6"/>
      <c r="G50" s="6"/>
      <c r="H50" s="6"/>
      <c r="I50" s="6"/>
      <c r="J50" s="6"/>
      <c r="K50" s="6"/>
    </row>
    <row r="51" spans="1:11" ht="26.25" customHeight="1" x14ac:dyDescent="0.25">
      <c r="A51" s="3">
        <v>45</v>
      </c>
      <c r="B51" s="41"/>
      <c r="C51" s="4" t="s">
        <v>41</v>
      </c>
      <c r="D51" s="3" t="s">
        <v>25</v>
      </c>
      <c r="E51" s="5"/>
      <c r="F51" s="6"/>
      <c r="G51" s="6"/>
      <c r="H51" s="6"/>
      <c r="I51" s="6"/>
      <c r="J51" s="6"/>
      <c r="K51" s="6"/>
    </row>
    <row r="52" spans="1:11" ht="26.25" customHeight="1" x14ac:dyDescent="0.25">
      <c r="A52" s="7">
        <v>46</v>
      </c>
      <c r="B52" s="41"/>
      <c r="C52" s="8" t="s">
        <v>42</v>
      </c>
      <c r="D52" s="7" t="s">
        <v>22</v>
      </c>
      <c r="E52" s="5"/>
      <c r="F52" s="6"/>
      <c r="G52" s="6"/>
      <c r="H52" s="6"/>
      <c r="I52" s="6"/>
      <c r="J52" s="6"/>
      <c r="K52" s="6"/>
    </row>
    <row r="53" spans="1:11" ht="26.25" customHeight="1" x14ac:dyDescent="0.25">
      <c r="A53" s="3">
        <v>47</v>
      </c>
      <c r="B53" s="41"/>
      <c r="C53" s="23" t="s">
        <v>43</v>
      </c>
      <c r="D53" s="3" t="s">
        <v>25</v>
      </c>
      <c r="E53" s="5"/>
      <c r="F53" s="6"/>
      <c r="G53" s="6"/>
      <c r="H53" s="6"/>
      <c r="I53" s="6"/>
      <c r="J53" s="6"/>
      <c r="K53" s="6"/>
    </row>
    <row r="54" spans="1:11" ht="26.25" customHeight="1" x14ac:dyDescent="0.25">
      <c r="A54" s="7">
        <v>48</v>
      </c>
      <c r="B54" s="41"/>
      <c r="C54" s="24" t="s">
        <v>111</v>
      </c>
      <c r="D54" s="7" t="s">
        <v>25</v>
      </c>
      <c r="E54" s="5"/>
      <c r="F54" s="6"/>
      <c r="G54" s="6"/>
      <c r="H54" s="6"/>
      <c r="I54" s="6"/>
      <c r="J54" s="6"/>
      <c r="K54" s="6"/>
    </row>
    <row r="55" spans="1:11" ht="26.25" customHeight="1" x14ac:dyDescent="0.25">
      <c r="A55" s="3">
        <v>49</v>
      </c>
      <c r="B55" s="41"/>
      <c r="C55" s="4" t="s">
        <v>44</v>
      </c>
      <c r="D55" s="3" t="s">
        <v>22</v>
      </c>
      <c r="E55" s="5"/>
      <c r="F55" s="6"/>
      <c r="G55" s="6"/>
      <c r="H55" s="6"/>
      <c r="I55" s="6"/>
      <c r="J55" s="6"/>
      <c r="K55" s="6"/>
    </row>
    <row r="56" spans="1:11" ht="26.25" customHeight="1" x14ac:dyDescent="0.25">
      <c r="A56" s="7">
        <v>50</v>
      </c>
      <c r="B56" s="41"/>
      <c r="C56" s="24" t="s">
        <v>123</v>
      </c>
      <c r="D56" s="7" t="s">
        <v>25</v>
      </c>
      <c r="E56" s="5"/>
      <c r="F56" s="37"/>
      <c r="G56" s="6"/>
      <c r="H56" s="6"/>
      <c r="I56" s="6"/>
      <c r="J56" s="6"/>
      <c r="K56" s="6"/>
    </row>
    <row r="57" spans="1:11" ht="26.25" customHeight="1" x14ac:dyDescent="0.25">
      <c r="A57" s="3">
        <v>51</v>
      </c>
      <c r="B57" s="41"/>
      <c r="C57" s="4" t="s">
        <v>45</v>
      </c>
      <c r="D57" s="3" t="s">
        <v>22</v>
      </c>
      <c r="E57" s="5"/>
      <c r="F57" s="37"/>
      <c r="G57" s="6"/>
      <c r="H57" s="6"/>
      <c r="I57" s="6"/>
      <c r="J57" s="6"/>
      <c r="K57" s="6"/>
    </row>
    <row r="58" spans="1:11" ht="26.25" customHeight="1" x14ac:dyDescent="0.25">
      <c r="A58" s="7">
        <v>52</v>
      </c>
      <c r="B58" s="41"/>
      <c r="C58" s="36" t="s">
        <v>124</v>
      </c>
      <c r="D58" s="7" t="s">
        <v>25</v>
      </c>
      <c r="E58" s="5"/>
      <c r="F58" s="37"/>
      <c r="G58" s="6"/>
      <c r="H58" s="6"/>
      <c r="I58" s="6"/>
      <c r="J58" s="6"/>
      <c r="K58" s="6"/>
    </row>
    <row r="59" spans="1:11" ht="26.25" customHeight="1" x14ac:dyDescent="0.25">
      <c r="A59" s="3">
        <v>53</v>
      </c>
      <c r="B59" s="41"/>
      <c r="C59" s="4" t="s">
        <v>46</v>
      </c>
      <c r="D59" s="3" t="s">
        <v>25</v>
      </c>
      <c r="E59" s="5"/>
      <c r="F59" s="6"/>
      <c r="G59" s="6"/>
      <c r="H59" s="6"/>
      <c r="I59" s="6"/>
      <c r="J59" s="6"/>
      <c r="K59" s="6"/>
    </row>
    <row r="60" spans="1:11" ht="26.25" customHeight="1" x14ac:dyDescent="0.25">
      <c r="A60" s="7">
        <v>54</v>
      </c>
      <c r="B60" s="41"/>
      <c r="C60" s="8" t="s">
        <v>47</v>
      </c>
      <c r="D60" s="7" t="s">
        <v>22</v>
      </c>
      <c r="E60" s="5"/>
      <c r="F60" s="6"/>
      <c r="G60" s="6"/>
      <c r="H60" s="6"/>
      <c r="I60" s="6"/>
      <c r="J60" s="6"/>
      <c r="K60" s="6"/>
    </row>
    <row r="61" spans="1:11" ht="26.25" customHeight="1" x14ac:dyDescent="0.25">
      <c r="A61" s="3">
        <v>55</v>
      </c>
      <c r="B61" s="41"/>
      <c r="C61" s="4" t="s">
        <v>48</v>
      </c>
      <c r="D61" s="3" t="s">
        <v>25</v>
      </c>
      <c r="E61" s="5"/>
      <c r="F61" s="37"/>
      <c r="G61" s="6"/>
      <c r="H61" s="6"/>
      <c r="I61" s="6"/>
      <c r="J61" s="6"/>
      <c r="K61" s="6"/>
    </row>
    <row r="62" spans="1:11" ht="26.25" customHeight="1" x14ac:dyDescent="0.25">
      <c r="A62" s="7">
        <v>56</v>
      </c>
      <c r="B62" s="41"/>
      <c r="C62" s="8" t="s">
        <v>49</v>
      </c>
      <c r="D62" s="7" t="s">
        <v>25</v>
      </c>
      <c r="E62" s="5"/>
      <c r="F62" s="6"/>
      <c r="G62" s="6"/>
      <c r="H62" s="6"/>
      <c r="I62" s="6"/>
      <c r="J62" s="6"/>
      <c r="K62" s="6"/>
    </row>
    <row r="64" spans="1:11" ht="15" customHeight="1" x14ac:dyDescent="0.25">
      <c r="A64" s="42" t="s">
        <v>50</v>
      </c>
      <c r="B64" s="42"/>
      <c r="C64" s="42"/>
      <c r="D64" s="42"/>
      <c r="E64" s="42"/>
      <c r="F64" s="42"/>
      <c r="G64" s="42"/>
      <c r="H64" s="42"/>
      <c r="I64" s="42"/>
      <c r="J64" s="42"/>
      <c r="K64" s="42"/>
    </row>
    <row r="65" spans="1:11" ht="15" customHeight="1" x14ac:dyDescent="0.25">
      <c r="A65" s="39" t="s">
        <v>51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</row>
    <row r="66" spans="1:11" ht="15" customHeight="1" x14ac:dyDescent="0.25">
      <c r="A66" s="39" t="s">
        <v>52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</row>
    <row r="67" spans="1:11" ht="15" customHeight="1" x14ac:dyDescent="0.25">
      <c r="A67" s="39" t="s">
        <v>53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</row>
    <row r="68" spans="1:11" ht="15" customHeight="1" x14ac:dyDescent="0.25">
      <c r="A68" s="39" t="s">
        <v>54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</row>
    <row r="69" spans="1:11" ht="15" customHeight="1" x14ac:dyDescent="0.25">
      <c r="A69" s="39" t="s">
        <v>55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</row>
    <row r="70" spans="1:11" ht="15" customHeight="1" x14ac:dyDescent="0.25">
      <c r="A70" s="39" t="s">
        <v>56</v>
      </c>
      <c r="B70" s="39"/>
      <c r="C70" s="39"/>
      <c r="D70" s="39"/>
      <c r="E70" s="39"/>
      <c r="F70" s="39"/>
      <c r="G70" s="39"/>
      <c r="H70" s="39"/>
      <c r="I70" s="39"/>
      <c r="J70" s="39"/>
      <c r="K70" s="39"/>
    </row>
    <row r="73" spans="1:11" ht="21.75" customHeight="1" x14ac:dyDescent="0.25">
      <c r="A73" s="1" t="s">
        <v>57</v>
      </c>
      <c r="B73" s="40"/>
      <c r="C73" s="40"/>
      <c r="D73" s="35" t="s">
        <v>58</v>
      </c>
      <c r="E73" s="40"/>
      <c r="F73" s="40"/>
      <c r="G73" s="1" t="s">
        <v>59</v>
      </c>
      <c r="H73" s="40"/>
      <c r="I73" s="40"/>
    </row>
  </sheetData>
  <autoFilter ref="A6:K62" xr:uid="{00000000-0009-0000-0000-000000000000}"/>
  <mergeCells count="23">
    <mergeCell ref="A1:K1"/>
    <mergeCell ref="B2:C2"/>
    <mergeCell ref="E2:F2"/>
    <mergeCell ref="H2:I2"/>
    <mergeCell ref="B3:C3"/>
    <mergeCell ref="E3:F3"/>
    <mergeCell ref="H3:I3"/>
    <mergeCell ref="B4:C4"/>
    <mergeCell ref="E4:F4"/>
    <mergeCell ref="H4:I4"/>
    <mergeCell ref="B7:B20"/>
    <mergeCell ref="B21:B31"/>
    <mergeCell ref="B32:B62"/>
    <mergeCell ref="A64:K64"/>
    <mergeCell ref="A65:K65"/>
    <mergeCell ref="A66:K66"/>
    <mergeCell ref="A67:K67"/>
    <mergeCell ref="A68:K68"/>
    <mergeCell ref="A69:K69"/>
    <mergeCell ref="A70:K70"/>
    <mergeCell ref="B73:C73"/>
    <mergeCell ref="E73:F73"/>
    <mergeCell ref="H73:I73"/>
  </mergeCells>
  <conditionalFormatting sqref="D7:D62">
    <cfRule type="cellIs" dxfId="6" priority="5" operator="equal">
      <formula>"Critic"</formula>
    </cfRule>
  </conditionalFormatting>
  <conditionalFormatting sqref="E7:E62">
    <cfRule type="cellIs" dxfId="5" priority="2" operator="equal">
      <formula>"NOK"</formula>
    </cfRule>
    <cfRule type="cellIs" dxfId="4" priority="3" operator="equal">
      <formula>"OK"</formula>
    </cfRule>
    <cfRule type="cellIs" dxfId="3" priority="4" operator="equal">
      <formula>"N/A"</formula>
    </cfRule>
  </conditionalFormatting>
  <dataValidations count="2">
    <dataValidation type="list" allowBlank="1" showErrorMessage="1" errorTitle="Status invalid" error="Valori permise: OK, NOK sau N/A." sqref="E7:E62" xr:uid="{00000000-0002-0000-0000-000000000000}">
      <formula1>"OK,NOK,N/A"</formula1>
      <formula2>0</formula2>
    </dataValidation>
    <dataValidation type="list" showErrorMessage="1" sqref="D7:D62" xr:uid="{00000000-0002-0000-0000-000001000000}">
      <formula1>"Critic,Major,Minor"</formula1>
      <formula2>0</formula2>
    </dataValidation>
  </dataValidations>
  <pageMargins left="0.75" right="0.75" top="1" bottom="1" header="0.511811023622047" footer="0.5"/>
  <pageSetup paperSize="9" fitToHeight="0" orientation="landscape" horizontalDpi="300" verticalDpi="300"/>
  <headerFooter>
    <oddFooter>&amp;LChecklist Audit Proces - Linii AC Auto&amp;C_x000D_&amp;1#&amp;"Aptos"&amp;8&amp;K000000 Internal&amp;RPagina &amp;P din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"/>
  <sheetViews>
    <sheetView topLeftCell="A17" zoomScaleNormal="100" workbookViewId="0">
      <selection activeCell="A29" sqref="A29:G29"/>
    </sheetView>
  </sheetViews>
  <sheetFormatPr defaultColWidth="8.7109375" defaultRowHeight="15" x14ac:dyDescent="0.25"/>
  <cols>
    <col min="1" max="1" width="40" customWidth="1"/>
    <col min="2" max="5" width="16" customWidth="1"/>
    <col min="6" max="6" width="18" customWidth="1"/>
    <col min="7" max="7" width="22" customWidth="1"/>
  </cols>
  <sheetData>
    <row r="1" spans="1:7" ht="25.5" customHeight="1" x14ac:dyDescent="0.25">
      <c r="A1" s="46" t="s">
        <v>60</v>
      </c>
      <c r="B1" s="46"/>
      <c r="C1" s="46"/>
      <c r="D1" s="46"/>
      <c r="E1" s="46"/>
      <c r="F1" s="46"/>
      <c r="G1" s="46"/>
    </row>
    <row r="3" spans="1:7" ht="15" customHeight="1" x14ac:dyDescent="0.25">
      <c r="A3" s="9" t="s">
        <v>61</v>
      </c>
    </row>
    <row r="4" spans="1:7" ht="15" customHeight="1" x14ac:dyDescent="0.25">
      <c r="A4" s="10" t="s">
        <v>62</v>
      </c>
      <c r="B4" s="11">
        <f>COUNTA('Audit Checklist'!$A$7:$A$62)</f>
        <v>56</v>
      </c>
    </row>
    <row r="5" spans="1:7" ht="15" customHeight="1" x14ac:dyDescent="0.25">
      <c r="A5" s="10" t="s">
        <v>63</v>
      </c>
      <c r="B5" s="11">
        <f>COUNTIF('Audit Checklist'!$E$7:$E$62,"OK")</f>
        <v>0</v>
      </c>
    </row>
    <row r="6" spans="1:7" ht="15" customHeight="1" x14ac:dyDescent="0.25">
      <c r="A6" s="10" t="s">
        <v>64</v>
      </c>
      <c r="B6" s="11">
        <f>COUNTIF('Audit Checklist'!$E$7:$E$62,"NOK")</f>
        <v>0</v>
      </c>
    </row>
    <row r="7" spans="1:7" ht="15" customHeight="1" x14ac:dyDescent="0.25">
      <c r="A7" s="10" t="s">
        <v>65</v>
      </c>
      <c r="B7" s="11">
        <f>COUNTIF('Audit Checklist'!$E$7:$E$62,"N/A")</f>
        <v>0</v>
      </c>
    </row>
    <row r="8" spans="1:7" ht="15" customHeight="1" x14ac:dyDescent="0.25">
      <c r="A8" s="10" t="s">
        <v>66</v>
      </c>
      <c r="B8" s="11">
        <f>B4-B5-B6-B7</f>
        <v>56</v>
      </c>
    </row>
    <row r="9" spans="1:7" ht="15" customHeight="1" x14ac:dyDescent="0.25">
      <c r="A9" s="10" t="s">
        <v>67</v>
      </c>
      <c r="B9" s="11">
        <f>B5+B6</f>
        <v>0</v>
      </c>
    </row>
    <row r="10" spans="1:7" ht="15" customHeight="1" x14ac:dyDescent="0.25">
      <c r="A10" s="12" t="s">
        <v>68</v>
      </c>
      <c r="B10" s="13">
        <f>IF(B9=0,0,B5/B9)</f>
        <v>0</v>
      </c>
    </row>
    <row r="11" spans="1:7" ht="15" customHeight="1" x14ac:dyDescent="0.25">
      <c r="A11" s="12" t="s">
        <v>69</v>
      </c>
      <c r="B11" s="14">
        <f>COUNTIFS('Audit Checklist'!$D$7:$D$62,"Critic",'Audit Checklist'!$E$7:$E$62,"NOK")</f>
        <v>0</v>
      </c>
    </row>
    <row r="12" spans="1:7" ht="15" customHeight="1" x14ac:dyDescent="0.25">
      <c r="A12" s="10" t="s">
        <v>70</v>
      </c>
      <c r="B12" s="15" t="str">
        <f>COUNTIFS('Audit Checklist'!$D$7:$D$62,"Major",'Audit Checklist'!$E$7:$E$62,"NOK")&amp;" / "&amp;COUNTIFS('Audit Checklist'!$D$7:$D$62,"Minor",'Audit Checklist'!$E$7:$E$62,"NOK")</f>
        <v>0 / 0</v>
      </c>
    </row>
    <row r="14" spans="1:7" ht="24" customHeight="1" x14ac:dyDescent="0.25">
      <c r="A14" s="9" t="s">
        <v>71</v>
      </c>
      <c r="B14" s="49" t="str">
        <f>IF(B9=0,"NEEVALUAT",IF(B11&gt;0,"BLOCAT - NOK PE ITEM CRITIC",IF(B10&gt;=0.95,"CONFORM",IF(B10&gt;=0.85,"CONFORM CU OBSERVATII","NECONFORM - PLAN DE ACTIUNE OBLIGATORIU"))))</f>
        <v>NEEVALUAT</v>
      </c>
      <c r="C14" s="49"/>
      <c r="D14" s="49"/>
    </row>
    <row r="17" spans="1:7" ht="15" customHeight="1" x14ac:dyDescent="0.25">
      <c r="A17" s="9" t="s">
        <v>72</v>
      </c>
    </row>
    <row r="18" spans="1:7" ht="31.5" customHeight="1" x14ac:dyDescent="0.25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77</v>
      </c>
      <c r="F18" s="2" t="s">
        <v>78</v>
      </c>
      <c r="G18" s="2" t="s">
        <v>79</v>
      </c>
    </row>
    <row r="19" spans="1:7" ht="27.75" customHeight="1" x14ac:dyDescent="0.25">
      <c r="A19" s="16" t="s">
        <v>20</v>
      </c>
      <c r="B19" s="17">
        <f>COUNTA('Audit Checklist'!$A$7:$A$20)</f>
        <v>14</v>
      </c>
      <c r="C19" s="17">
        <f>COUNTIF('Audit Checklist'!$E$7:$E$20,"OK")</f>
        <v>0</v>
      </c>
      <c r="D19" s="17">
        <f>COUNTIF('Audit Checklist'!$E$7:$E$20,"NOK")</f>
        <v>0</v>
      </c>
      <c r="E19" s="17">
        <f>COUNTIF('Audit Checklist'!$E$7:$E$20,"N/A")</f>
        <v>0</v>
      </c>
      <c r="F19" s="17">
        <f>B19-C19-D19-E19</f>
        <v>14</v>
      </c>
      <c r="G19" s="18">
        <f>IF((C19+D19)=0,0,C19/(C19+D19))</f>
        <v>0</v>
      </c>
    </row>
    <row r="20" spans="1:7" ht="27.75" customHeight="1" x14ac:dyDescent="0.25">
      <c r="A20" s="16" t="s">
        <v>23</v>
      </c>
      <c r="B20" s="17">
        <f>COUNTA('Audit Checklist'!$A$21:$A$31)</f>
        <v>11</v>
      </c>
      <c r="C20" s="17">
        <f>COUNTIF('Audit Checklist'!$E$21:$E$31,"OK")</f>
        <v>0</v>
      </c>
      <c r="D20" s="17">
        <f>COUNTIF('Audit Checklist'!$E$21:$E$31,"NOK")</f>
        <v>0</v>
      </c>
      <c r="E20" s="17">
        <f>COUNTIF('Audit Checklist'!$E$21:$E$31,"N/A")</f>
        <v>0</v>
      </c>
      <c r="F20" s="17">
        <f>B20-C20-D20-E20</f>
        <v>11</v>
      </c>
      <c r="G20" s="18">
        <f>IF((C20+D20)=0,0,C20/(C20+D20))</f>
        <v>0</v>
      </c>
    </row>
    <row r="21" spans="1:7" ht="27.75" customHeight="1" x14ac:dyDescent="0.25">
      <c r="A21" s="16" t="s">
        <v>32</v>
      </c>
      <c r="B21" s="17">
        <f>COUNTA('Audit Checklist'!$A$32:$A$62)</f>
        <v>31</v>
      </c>
      <c r="C21" s="17">
        <f>COUNTIF('Audit Checklist'!$E$32:$E$62,"OK")</f>
        <v>0</v>
      </c>
      <c r="D21" s="17">
        <f>COUNTIF('Audit Checklist'!$E$32:$E$62,"NOK")</f>
        <v>0</v>
      </c>
      <c r="E21" s="17">
        <f>COUNTIF('Audit Checklist'!$E$32:$E$62,"N/A")</f>
        <v>0</v>
      </c>
      <c r="F21" s="17">
        <f>B21-C21-D21-E21</f>
        <v>31</v>
      </c>
      <c r="G21" s="18">
        <f>IF((C21+D21)=0,0,C21/(C21+D21))</f>
        <v>0</v>
      </c>
    </row>
    <row r="22" spans="1:7" ht="15" customHeight="1" x14ac:dyDescent="0.25">
      <c r="A22" s="19" t="s">
        <v>80</v>
      </c>
      <c r="B22" s="20">
        <f>SUM(B19:B21)</f>
        <v>56</v>
      </c>
      <c r="C22" s="20">
        <f>SUM(C19:C21)</f>
        <v>0</v>
      </c>
      <c r="D22" s="20">
        <f>SUM(D19:D21)</f>
        <v>0</v>
      </c>
      <c r="E22" s="20">
        <f>SUM(E19:E21)</f>
        <v>0</v>
      </c>
      <c r="F22" s="20">
        <f>SUM(F19:F21)</f>
        <v>56</v>
      </c>
      <c r="G22" s="21">
        <f>IF((C22+D22)=0,0,C22/(C22+D22))</f>
        <v>0</v>
      </c>
    </row>
    <row r="25" spans="1:7" ht="15" customHeight="1" x14ac:dyDescent="0.25">
      <c r="A25" s="50" t="s">
        <v>81</v>
      </c>
      <c r="B25" s="50"/>
      <c r="C25" s="50"/>
      <c r="D25" s="50"/>
      <c r="E25" s="50"/>
      <c r="F25" s="50"/>
      <c r="G25" s="50"/>
    </row>
    <row r="26" spans="1:7" ht="15" customHeight="1" x14ac:dyDescent="0.25">
      <c r="A26" s="48" t="s">
        <v>82</v>
      </c>
      <c r="B26" s="48"/>
      <c r="C26" s="48"/>
      <c r="D26" s="48"/>
      <c r="E26" s="48"/>
      <c r="F26" s="48"/>
      <c r="G26" s="48"/>
    </row>
    <row r="27" spans="1:7" ht="15" customHeight="1" x14ac:dyDescent="0.25">
      <c r="A27" s="48" t="s">
        <v>83</v>
      </c>
      <c r="B27" s="48"/>
      <c r="C27" s="48"/>
      <c r="D27" s="48"/>
      <c r="E27" s="48"/>
      <c r="F27" s="48"/>
      <c r="G27" s="48"/>
    </row>
    <row r="28" spans="1:7" ht="15" customHeight="1" x14ac:dyDescent="0.25">
      <c r="A28" s="48" t="s">
        <v>84</v>
      </c>
      <c r="B28" s="48"/>
      <c r="C28" s="48"/>
      <c r="D28" s="48"/>
      <c r="E28" s="48"/>
      <c r="F28" s="48"/>
      <c r="G28" s="48"/>
    </row>
    <row r="29" spans="1:7" ht="15" customHeight="1" x14ac:dyDescent="0.25">
      <c r="A29" s="48" t="s">
        <v>85</v>
      </c>
      <c r="B29" s="48"/>
      <c r="C29" s="48"/>
      <c r="D29" s="48"/>
      <c r="E29" s="48"/>
      <c r="F29" s="48"/>
      <c r="G29" s="48"/>
    </row>
  </sheetData>
  <mergeCells count="7">
    <mergeCell ref="A28:G28"/>
    <mergeCell ref="A29:G29"/>
    <mergeCell ref="A1:G1"/>
    <mergeCell ref="B14:D14"/>
    <mergeCell ref="A25:G25"/>
    <mergeCell ref="A26:G26"/>
    <mergeCell ref="A27:G27"/>
  </mergeCells>
  <conditionalFormatting sqref="B11">
    <cfRule type="cellIs" dxfId="2" priority="4" operator="greaterThan">
      <formula>0</formula>
    </cfRule>
  </conditionalFormatting>
  <conditionalFormatting sqref="B14">
    <cfRule type="cellIs" dxfId="1" priority="2" operator="equal">
      <formula>"CONFORM"</formula>
    </cfRule>
    <cfRule type="cellIs" dxfId="0" priority="3" operator="equal">
      <formula>"CONFORM CU OBSERVATII"</formula>
    </cfRule>
  </conditionalFormatting>
  <pageMargins left="0.75" right="0.75" top="1" bottom="1" header="0.511811023622047" footer="0.511811023622047"/>
  <pageSetup paperSize="9" orientation="portrait" horizontalDpi="300" verticalDpi="300"/>
  <headerFooter>
    <oddFooter>&amp;C_x000D_&amp;1#&amp;"Aptos"&amp;8&amp;K000000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73"/>
  <sheetViews>
    <sheetView zoomScaleNormal="100" workbookViewId="0">
      <selection activeCell="G14" sqref="G14"/>
    </sheetView>
  </sheetViews>
  <sheetFormatPr defaultColWidth="8.7109375" defaultRowHeight="15" x14ac:dyDescent="0.25"/>
  <cols>
    <col min="1" max="1" width="4.140625" style="26" bestFit="1" customWidth="1"/>
    <col min="2" max="2" width="110.85546875" style="26" customWidth="1"/>
    <col min="3" max="3" width="7.5703125" style="26" bestFit="1" customWidth="1"/>
    <col min="4" max="4" width="3.28515625" style="26" bestFit="1" customWidth="1"/>
    <col min="5" max="5" width="4.5703125" style="26" bestFit="1" customWidth="1"/>
    <col min="6" max="6" width="3.42578125" style="26" bestFit="1" customWidth="1"/>
    <col min="7" max="7" width="23.5703125" style="26" bestFit="1" customWidth="1"/>
    <col min="8" max="16384" width="8.7109375" style="26"/>
  </cols>
  <sheetData>
    <row r="1" spans="1:7" ht="16.5" x14ac:dyDescent="0.25">
      <c r="A1" s="66" t="s">
        <v>0</v>
      </c>
      <c r="B1" s="66"/>
      <c r="C1" s="66"/>
      <c r="D1" s="66"/>
      <c r="E1" s="66"/>
      <c r="F1" s="66"/>
      <c r="G1" s="66"/>
    </row>
    <row r="2" spans="1:7" ht="28.9" customHeight="1" x14ac:dyDescent="0.25">
      <c r="A2" s="61" t="s">
        <v>1</v>
      </c>
      <c r="B2" s="61"/>
      <c r="C2" s="65" t="s">
        <v>4</v>
      </c>
      <c r="D2" s="65"/>
      <c r="E2" s="65" t="s">
        <v>7</v>
      </c>
      <c r="F2" s="65"/>
      <c r="G2" s="65"/>
    </row>
    <row r="3" spans="1:7" ht="15.75" x14ac:dyDescent="0.25">
      <c r="A3" s="63"/>
      <c r="B3" s="63"/>
      <c r="C3" s="64"/>
      <c r="D3" s="64"/>
      <c r="E3" s="64"/>
      <c r="F3" s="64"/>
      <c r="G3" s="64"/>
    </row>
    <row r="4" spans="1:7" ht="15.75" x14ac:dyDescent="0.25">
      <c r="A4" s="61" t="s">
        <v>86</v>
      </c>
      <c r="B4" s="61"/>
      <c r="C4" s="65" t="s">
        <v>87</v>
      </c>
      <c r="D4" s="65"/>
      <c r="E4" s="65" t="s">
        <v>88</v>
      </c>
      <c r="F4" s="65"/>
      <c r="G4" s="65"/>
    </row>
    <row r="5" spans="1:7" ht="15.75" x14ac:dyDescent="0.25">
      <c r="A5" s="63"/>
      <c r="B5" s="63"/>
      <c r="C5" s="64"/>
      <c r="D5" s="64"/>
      <c r="E5" s="64"/>
      <c r="F5" s="64"/>
      <c r="G5" s="64"/>
    </row>
    <row r="6" spans="1:7" ht="15.75" x14ac:dyDescent="0.25">
      <c r="A6" s="61" t="s">
        <v>89</v>
      </c>
      <c r="B6" s="61"/>
      <c r="C6" s="62"/>
      <c r="D6" s="62"/>
      <c r="E6" s="62"/>
      <c r="F6" s="62"/>
      <c r="G6" s="62"/>
    </row>
    <row r="7" spans="1:7" ht="15.75" x14ac:dyDescent="0.25">
      <c r="A7" s="63"/>
      <c r="B7" s="63"/>
      <c r="C7" s="64"/>
      <c r="D7" s="64"/>
      <c r="E7" s="64"/>
      <c r="F7" s="64"/>
      <c r="G7" s="64"/>
    </row>
    <row r="9" spans="1:7" ht="24" x14ac:dyDescent="0.25">
      <c r="A9" s="22" t="s">
        <v>9</v>
      </c>
      <c r="B9" s="22" t="s">
        <v>90</v>
      </c>
      <c r="C9" s="22" t="s">
        <v>91</v>
      </c>
      <c r="D9" s="22" t="s">
        <v>75</v>
      </c>
      <c r="E9" s="22" t="s">
        <v>76</v>
      </c>
      <c r="F9" s="22" t="s">
        <v>77</v>
      </c>
      <c r="G9" s="22" t="s">
        <v>92</v>
      </c>
    </row>
    <row r="10" spans="1:7" ht="18" x14ac:dyDescent="0.25">
      <c r="A10" s="54" t="s">
        <v>20</v>
      </c>
      <c r="B10" s="54"/>
      <c r="C10" s="54"/>
      <c r="D10" s="54"/>
      <c r="E10" s="54"/>
      <c r="F10" s="54"/>
      <c r="G10" s="54"/>
    </row>
    <row r="11" spans="1:7" ht="36" x14ac:dyDescent="0.3">
      <c r="A11" s="27">
        <f>'Audit Checklist'!A7</f>
        <v>1</v>
      </c>
      <c r="B11" s="25" t="str">
        <f>'Audit Checklist'!C7</f>
        <v>Baza masinii sa fie curata fara span si mizerie.</v>
      </c>
      <c r="C11" s="27" t="str">
        <f>'Audit Checklist'!D7</f>
        <v>Minor</v>
      </c>
      <c r="D11" s="28"/>
      <c r="E11" s="28"/>
      <c r="F11" s="28"/>
      <c r="G11" s="28"/>
    </row>
    <row r="12" spans="1:7" ht="36" x14ac:dyDescent="0.3">
      <c r="A12" s="27">
        <f>'Audit Checklist'!A8</f>
        <v>2</v>
      </c>
      <c r="B12" s="25" t="str">
        <f>'Audit Checklist'!C8</f>
        <v>Sub masina curat sa fie fara ulei, span sau alte reziduuri tehnologice.</v>
      </c>
      <c r="C12" s="27" t="str">
        <f>'Audit Checklist'!D8</f>
        <v>Minor</v>
      </c>
      <c r="D12" s="28"/>
      <c r="E12" s="28"/>
      <c r="F12" s="28"/>
      <c r="G12" s="28"/>
    </row>
    <row r="13" spans="1:7" ht="36" x14ac:dyDescent="0.3">
      <c r="A13" s="27">
        <f>'Audit Checklist'!A9</f>
        <v>3</v>
      </c>
      <c r="B13" s="25" t="str">
        <f>'Audit Checklist'!C9</f>
        <v>Zona de lucru libera sa fie fara scule, suruburi sau materiale uitate pe masina.</v>
      </c>
      <c r="C13" s="27" t="str">
        <f>'Audit Checklist'!D9</f>
        <v>Minor</v>
      </c>
      <c r="D13" s="28"/>
      <c r="E13" s="28"/>
      <c r="F13" s="28"/>
      <c r="G13" s="28"/>
    </row>
    <row r="14" spans="1:7" ht="36" x14ac:dyDescent="0.3">
      <c r="A14" s="27">
        <f>'Audit Checklist'!A10</f>
        <v>4</v>
      </c>
      <c r="B14" s="25" t="str">
        <f>'Audit Checklist'!C10</f>
        <v>Mesele de lucru curate sa fie fara rugina, vopsea exfoliata, span sau mizerie.</v>
      </c>
      <c r="C14" s="27" t="str">
        <f>'Audit Checklist'!D10</f>
        <v>Major</v>
      </c>
      <c r="D14" s="28"/>
      <c r="E14" s="28"/>
      <c r="F14" s="28"/>
      <c r="G14" s="28"/>
    </row>
    <row r="15" spans="1:7" ht="36" x14ac:dyDescent="0.3">
      <c r="A15" s="27">
        <f>'Audit Checklist'!A11</f>
        <v>5</v>
      </c>
      <c r="B15" s="25" t="str">
        <f>'Audit Checklist'!C11</f>
        <v>Lada rosie/galbena sa fie curata, golita si cu folie.</v>
      </c>
      <c r="C15" s="27" t="str">
        <f>'Audit Checklist'!D11</f>
        <v>Minor</v>
      </c>
      <c r="D15" s="28"/>
      <c r="E15" s="28"/>
      <c r="F15" s="28"/>
      <c r="G15" s="28"/>
    </row>
    <row r="16" spans="1:7" ht="36" x14ac:dyDescent="0.3">
      <c r="A16" s="27">
        <f>'Audit Checklist'!A12</f>
        <v>6</v>
      </c>
      <c r="B16" s="25" t="str">
        <f>'Audit Checklist'!C12</f>
        <v>Lazile si Gitterbox-rile pentru piese bune sa fie curate, fara corpuri straine si etichetate corect.</v>
      </c>
      <c r="C16" s="27" t="str">
        <f>'Audit Checklist'!D12</f>
        <v>Major</v>
      </c>
      <c r="D16" s="28"/>
      <c r="E16" s="28"/>
      <c r="F16" s="28"/>
      <c r="G16" s="28"/>
    </row>
    <row r="17" spans="1:7" ht="36" x14ac:dyDescent="0.3">
      <c r="A17" s="27">
        <f>'Audit Checklist'!A13</f>
        <v>7</v>
      </c>
      <c r="B17" s="25" t="str">
        <f>'Audit Checklist'!C13</f>
        <v>Carucioare de transport sa fie curate, in stare buna, cu robinetul de scurgere inchis unde exista.</v>
      </c>
      <c r="C17" s="27" t="str">
        <f>'Audit Checklist'!D13</f>
        <v>Minor</v>
      </c>
      <c r="D17" s="28"/>
      <c r="E17" s="28"/>
      <c r="F17" s="28"/>
      <c r="G17" s="28"/>
    </row>
    <row r="18" spans="1:7" ht="36" x14ac:dyDescent="0.3">
      <c r="A18" s="27">
        <f>'Audit Checklist'!A14</f>
        <v>8</v>
      </c>
      <c r="B18" s="25" t="str">
        <f>'Audit Checklist'!C14</f>
        <v>Lere si calibre sa fie fara span si mizerie la conectori si segmenti, fara deteriorari sau vopsea, etichete si protectii intacte, TUV-ul de avizare nedeteriorat.</v>
      </c>
      <c r="C18" s="27" t="str">
        <f>'Audit Checklist'!D14</f>
        <v>Major</v>
      </c>
      <c r="D18" s="28"/>
      <c r="E18" s="28"/>
      <c r="F18" s="28"/>
      <c r="G18" s="28"/>
    </row>
    <row r="19" spans="1:7" ht="36" x14ac:dyDescent="0.3">
      <c r="A19" s="27">
        <f>'Audit Checklist'!A15</f>
        <v>9</v>
      </c>
      <c r="B19" s="25" t="str">
        <f>'Audit Checklist'!C15</f>
        <v>Magazia de tevi (loader) sa fie curata, cuiburile fara ulei sau span, profilele Bosch cu chedere montate.</v>
      </c>
      <c r="C19" s="27" t="str">
        <f>'Audit Checklist'!D15</f>
        <v>Major</v>
      </c>
      <c r="D19" s="28"/>
      <c r="E19" s="28"/>
      <c r="F19" s="28"/>
      <c r="G19" s="28"/>
    </row>
    <row r="20" spans="1:7" ht="36" x14ac:dyDescent="0.3">
      <c r="A20" s="27">
        <f>'Audit Checklist'!A16</f>
        <v>10</v>
      </c>
      <c r="B20" s="25" t="str">
        <f>'Audit Checklist'!C16</f>
        <v>Sistemele de descarcare sa nu fie deteriorate, profilele Bosch cu chedere  montate, canale curate fara span sau ulei.</v>
      </c>
      <c r="C20" s="27" t="str">
        <f>'Audit Checklist'!D16</f>
        <v>Minor</v>
      </c>
      <c r="D20" s="28"/>
      <c r="E20" s="28"/>
      <c r="F20" s="28"/>
      <c r="G20" s="28"/>
    </row>
    <row r="21" spans="1:7" ht="36" x14ac:dyDescent="0.3">
      <c r="A21" s="27">
        <f>'Audit Checklist'!A17</f>
        <v>11</v>
      </c>
      <c r="B21" s="25" t="str">
        <f>'Audit Checklist'!C17</f>
        <v>Cabluri de alimentare si semnal sa fie curate si intacte, fara izolatie improvizata sau fire la vedere.</v>
      </c>
      <c r="C21" s="27" t="str">
        <f>'Audit Checklist'!D17</f>
        <v>Major</v>
      </c>
      <c r="D21" s="28"/>
      <c r="E21" s="28"/>
      <c r="F21" s="28"/>
      <c r="G21" s="28"/>
    </row>
    <row r="22" spans="1:7" ht="36" x14ac:dyDescent="0.3">
      <c r="A22" s="27">
        <f>'Audit Checklist'!A18</f>
        <v>12</v>
      </c>
      <c r="B22" s="25" t="str">
        <f>'Audit Checklist'!C18</f>
        <v>Traseele de cabluri sa fie fixate conform standardului, niciun cablu nu atarna liber.</v>
      </c>
      <c r="C22" s="27" t="str">
        <f>'Audit Checklist'!D18</f>
        <v>Minor</v>
      </c>
      <c r="D22" s="28"/>
      <c r="E22" s="28"/>
      <c r="F22" s="28"/>
      <c r="G22" s="28"/>
    </row>
    <row r="23" spans="1:7" ht="36" x14ac:dyDescent="0.3">
      <c r="A23" s="27">
        <f>'Audit Checklist'!A19</f>
        <v>13</v>
      </c>
      <c r="B23" s="25" t="str">
        <f>'Audit Checklist'!C19</f>
        <v>Cablurile de la panoul de comanda sa fie  protejate de pat pt cabluri.</v>
      </c>
      <c r="C23" s="27" t="str">
        <f>'Audit Checklist'!D19</f>
        <v>Minor</v>
      </c>
      <c r="D23" s="28"/>
      <c r="E23" s="28"/>
      <c r="F23" s="28"/>
      <c r="G23" s="28"/>
    </row>
    <row r="24" spans="1:7" ht="54" x14ac:dyDescent="0.3">
      <c r="A24" s="27">
        <f>'Audit Checklist'!A20</f>
        <v>14</v>
      </c>
      <c r="B24" s="25" t="str">
        <f>'Audit Checklist'!C20</f>
        <v>Postul de lucru sa fie  organizat (5S): scule, cutii si dulapuri curate, ordonate si etichetate; fara improvizatii la masini; fara smirghel, buline sau alte abrazive si textile neautorizate.</v>
      </c>
      <c r="C24" s="27" t="str">
        <f>'Audit Checklist'!D20</f>
        <v>Major</v>
      </c>
      <c r="D24" s="28"/>
      <c r="E24" s="28"/>
      <c r="F24" s="28"/>
      <c r="G24" s="28"/>
    </row>
    <row r="25" spans="1:7" ht="18" x14ac:dyDescent="0.25">
      <c r="A25" s="54" t="s">
        <v>23</v>
      </c>
      <c r="B25" s="54"/>
      <c r="C25" s="54"/>
      <c r="D25" s="54"/>
      <c r="E25" s="54"/>
      <c r="F25" s="54"/>
      <c r="G25" s="54"/>
    </row>
    <row r="26" spans="1:7" ht="36" x14ac:dyDescent="0.3">
      <c r="A26" s="27">
        <f>'Audit Checklist'!A21</f>
        <v>15</v>
      </c>
      <c r="B26" s="25" t="str">
        <f>'Audit Checklist'!C21</f>
        <v>Insemnul "Caracteristica Importanta" este afisat vizibil pe masina, conform planului de control.</v>
      </c>
      <c r="C26" s="27" t="str">
        <f>'Audit Checklist'!D21</f>
        <v>Critic</v>
      </c>
      <c r="D26" s="28"/>
      <c r="E26" s="28"/>
      <c r="F26" s="28"/>
      <c r="G26" s="28"/>
    </row>
    <row r="27" spans="1:7" ht="36" x14ac:dyDescent="0.3">
      <c r="A27" s="27">
        <f>'Audit Checklist'!A22</f>
        <v>16</v>
      </c>
      <c r="B27" s="25" t="str">
        <f>'Audit Checklist'!C22</f>
        <v>Manometre intregi si functionale, cu valori in limitele din fisa de parametri sau tpm.</v>
      </c>
      <c r="C27" s="27" t="str">
        <f>'Audit Checklist'!D22</f>
        <v>Major</v>
      </c>
      <c r="D27" s="28"/>
      <c r="E27" s="28"/>
      <c r="F27" s="28"/>
      <c r="G27" s="28"/>
    </row>
    <row r="28" spans="1:7" ht="36" x14ac:dyDescent="0.3">
      <c r="A28" s="27">
        <f>'Audit Checklist'!A23</f>
        <v>17</v>
      </c>
      <c r="B28" s="25" t="str">
        <f>'Audit Checklist'!C23</f>
        <v>Butoanele de pe panou sunt etichetate vizibil, cu text clar in romana.</v>
      </c>
      <c r="C28" s="27" t="str">
        <f>'Audit Checklist'!D23</f>
        <v>Minor</v>
      </c>
      <c r="D28" s="28"/>
      <c r="E28" s="28"/>
      <c r="F28" s="28"/>
      <c r="G28" s="28"/>
    </row>
    <row r="29" spans="1:7" ht="36" x14ac:dyDescent="0.3">
      <c r="A29" s="27">
        <f>'Audit Checklist'!A24</f>
        <v>18</v>
      </c>
      <c r="B29" s="25" t="str">
        <f>'Audit Checklist'!C24</f>
        <v>Butoanele sunt intregi, niciunul spart, blocat sau deteriorat.</v>
      </c>
      <c r="C29" s="27" t="str">
        <f>'Audit Checklist'!D24</f>
        <v>Major</v>
      </c>
      <c r="D29" s="28"/>
      <c r="E29" s="28"/>
      <c r="F29" s="28"/>
      <c r="G29" s="28"/>
    </row>
    <row r="30" spans="1:7" ht="36" x14ac:dyDescent="0.3">
      <c r="A30" s="27">
        <f>'Audit Checklist'!A25</f>
        <v>19</v>
      </c>
      <c r="B30" s="25" t="str">
        <f>'Audit Checklist'!C25</f>
        <v>Semafoarele de avertizare functioneaza corect pe toate starile masinii.</v>
      </c>
      <c r="C30" s="27" t="str">
        <f>'Audit Checklist'!D25</f>
        <v>Major</v>
      </c>
      <c r="D30" s="28"/>
      <c r="E30" s="28"/>
      <c r="F30" s="28"/>
      <c r="G30" s="28"/>
    </row>
    <row r="31" spans="1:7" ht="36" x14ac:dyDescent="0.3">
      <c r="A31" s="27">
        <f>'Audit Checklist'!A26</f>
        <v>20</v>
      </c>
      <c r="B31" s="25" t="str">
        <f>'Audit Checklist'!C26</f>
        <v>Ledurile din butoane functioneaza, ca operatorul sa aiba semnal vizual.</v>
      </c>
      <c r="C31" s="27" t="str">
        <f>'Audit Checklist'!D26</f>
        <v>Minor</v>
      </c>
      <c r="D31" s="28"/>
      <c r="E31" s="28"/>
      <c r="F31" s="28"/>
      <c r="G31" s="28"/>
    </row>
    <row r="32" spans="1:7" ht="36" x14ac:dyDescent="0.3">
      <c r="A32" s="27">
        <f>'Audit Checklist'!A27</f>
        <v>21</v>
      </c>
      <c r="B32" s="25" t="str">
        <f>'Audit Checklist'!C27</f>
        <v>Safety: protectiile mecanice, barierele optice si butoanele de urgenta sunt montate, intacte si functioneaza.</v>
      </c>
      <c r="C32" s="27" t="str">
        <f>'Audit Checklist'!D27</f>
        <v>Critic</v>
      </c>
      <c r="D32" s="28"/>
      <c r="E32" s="28"/>
      <c r="F32" s="28"/>
      <c r="G32" s="28"/>
    </row>
    <row r="33" spans="1:7" ht="36" x14ac:dyDescent="0.3">
      <c r="A33" s="27">
        <f>'Audit Checklist'!A28</f>
        <v>22</v>
      </c>
      <c r="B33" s="25" t="str">
        <f>'Audit Checklist'!C28</f>
        <v>LOTO: la orice interventie se aplica blocarea, dispozitivele exista si oamenii stiu procedura.</v>
      </c>
      <c r="C33" s="27" t="str">
        <f>'Audit Checklist'!D28</f>
        <v>Critic</v>
      </c>
      <c r="D33" s="28"/>
      <c r="E33" s="28"/>
      <c r="F33" s="28"/>
      <c r="G33" s="28"/>
    </row>
    <row r="34" spans="1:7" ht="36" x14ac:dyDescent="0.3">
      <c r="A34" s="27">
        <f>'Audit Checklist'!A29</f>
        <v>23</v>
      </c>
      <c r="B34" s="25" t="str">
        <f>'Audit Checklist'!C29</f>
        <v>Echipamentul de protectie este purtat efectiv, conform cerintelor postului.</v>
      </c>
      <c r="C34" s="27" t="str">
        <f>'Audit Checklist'!D29</f>
        <v>Major</v>
      </c>
      <c r="D34" s="28"/>
      <c r="E34" s="28"/>
      <c r="F34" s="28"/>
      <c r="G34" s="28"/>
    </row>
    <row r="35" spans="1:7" ht="36" x14ac:dyDescent="0.3">
      <c r="A35" s="27">
        <f>'Audit Checklist'!A30</f>
        <v>24</v>
      </c>
      <c r="B35" s="25" t="str">
        <f>'Audit Checklist'!C30</f>
        <v>Iluminarea la posturile de verificare vizuala exista si este functional.</v>
      </c>
      <c r="C35" s="27" t="str">
        <f>'Audit Checklist'!D30</f>
        <v>Major</v>
      </c>
      <c r="D35" s="28"/>
      <c r="E35" s="28"/>
      <c r="F35" s="28"/>
      <c r="G35" s="28"/>
    </row>
    <row r="36" spans="1:7" ht="36" x14ac:dyDescent="0.3">
      <c r="A36" s="27">
        <f>'Audit Checklist'!A31</f>
        <v>25</v>
      </c>
      <c r="B36" s="25" t="str">
        <f>'Audit Checklist'!C31</f>
        <v>Acces la parametri: parole pe niveluri la PLC/HMI, programul incarcat coincide cu ordinul de productie, modificarile sunt inregistrate.</v>
      </c>
      <c r="C36" s="27" t="str">
        <f>'Audit Checklist'!D31</f>
        <v>Critic</v>
      </c>
      <c r="D36" s="28"/>
      <c r="E36" s="28"/>
      <c r="F36" s="28"/>
      <c r="G36" s="28"/>
    </row>
    <row r="37" spans="1:7" ht="18" x14ac:dyDescent="0.25">
      <c r="A37" s="54" t="s">
        <v>32</v>
      </c>
      <c r="B37" s="54"/>
      <c r="C37" s="54"/>
      <c r="D37" s="54"/>
      <c r="E37" s="54"/>
      <c r="F37" s="54"/>
      <c r="G37" s="54"/>
    </row>
    <row r="38" spans="1:7" ht="18.75" x14ac:dyDescent="0.3">
      <c r="A38" s="27">
        <f>'Audit Checklist'!A32</f>
        <v>26</v>
      </c>
      <c r="B38" s="25" t="str">
        <f>'Audit Checklist'!C32</f>
        <v>Studiile de capabilitate (Cmk / Cpk / Ppk) exista si sunt valabile pentru cotele critice.</v>
      </c>
      <c r="C38" s="27" t="str">
        <f>'Audit Checklist'!D32</f>
        <v>Critic</v>
      </c>
      <c r="D38" s="28"/>
      <c r="E38" s="28"/>
      <c r="F38" s="28"/>
      <c r="G38" s="28"/>
    </row>
    <row r="39" spans="1:7" ht="36" x14ac:dyDescent="0.3">
      <c r="A39" s="27">
        <f>'Audit Checklist'!A33</f>
        <v>27</v>
      </c>
      <c r="B39" s="25" t="str">
        <f>'Audit Checklist'!C33</f>
        <v>In SAP este alocata masina corecta pentru avizarea procesului.</v>
      </c>
      <c r="C39" s="27" t="str">
        <f>'Audit Checklist'!D33</f>
        <v>Major</v>
      </c>
      <c r="D39" s="28"/>
      <c r="E39" s="28"/>
      <c r="F39" s="28"/>
      <c r="G39" s="28"/>
    </row>
    <row r="40" spans="1:7" ht="36" x14ac:dyDescent="0.3">
      <c r="A40" s="27">
        <f>'Audit Checklist'!A34</f>
        <v>28</v>
      </c>
      <c r="B40" s="25" t="str">
        <f>'Audit Checklist'!C34</f>
        <v>Numarul de desen al produsului finit din ordinul de productie este acelasi cu cel de pe desenul valabil.</v>
      </c>
      <c r="C40" s="27" t="str">
        <f>'Audit Checklist'!D34</f>
        <v>Critic</v>
      </c>
      <c r="D40" s="28"/>
      <c r="E40" s="28"/>
      <c r="F40" s="28"/>
      <c r="G40" s="28"/>
    </row>
    <row r="41" spans="1:7" ht="36" x14ac:dyDescent="0.3">
      <c r="A41" s="27">
        <f>'Audit Checklist'!A35</f>
        <v>29</v>
      </c>
      <c r="B41" s="25" t="str">
        <f>'Audit Checklist'!C35</f>
        <v>PN-ul materiei prime si numarul ordinului sunt trecute corect si se potrivesc cu materia prima aflata la post.</v>
      </c>
      <c r="C41" s="27" t="str">
        <f>'Audit Checklist'!D35</f>
        <v>Critic</v>
      </c>
      <c r="D41" s="28"/>
      <c r="E41" s="28"/>
      <c r="F41" s="28"/>
      <c r="G41" s="28"/>
    </row>
    <row r="42" spans="1:7" ht="18.75" x14ac:dyDescent="0.3">
      <c r="A42" s="27">
        <f>'Audit Checklist'!A36</f>
        <v>30</v>
      </c>
      <c r="B42" s="25" t="str">
        <f>'Audit Checklist'!C36</f>
        <v>Work-center-ul din ordinul de productie este corect cel pe care se lucreaza.</v>
      </c>
      <c r="C42" s="27" t="str">
        <f>'Audit Checklist'!D36</f>
        <v>Critic</v>
      </c>
      <c r="D42" s="28"/>
      <c r="E42" s="28"/>
      <c r="F42" s="28"/>
      <c r="G42" s="28"/>
    </row>
    <row r="43" spans="1:7" ht="36" x14ac:dyDescent="0.3">
      <c r="A43" s="27">
        <f>'Audit Checklist'!A37</f>
        <v>31</v>
      </c>
      <c r="B43" s="25" t="str">
        <f>'Audit Checklist'!C37</f>
        <v>Codurile lerelor, matritelor de gaurire sculelor montate pe masina sunt aceleasi cu cele trecute in ordinul de productie.</v>
      </c>
      <c r="C43" s="27" t="str">
        <f>'Audit Checklist'!D37</f>
        <v>Critic</v>
      </c>
      <c r="D43" s="28"/>
      <c r="E43" s="28"/>
      <c r="F43" s="28"/>
      <c r="G43" s="28"/>
    </row>
    <row r="44" spans="1:7" ht="36" x14ac:dyDescent="0.3">
      <c r="A44" s="27">
        <f>'Audit Checklist'!A38</f>
        <v>32</v>
      </c>
      <c r="B44" s="25" t="str">
        <f>'Audit Checklist'!C38</f>
        <v>Frecventa de verificare pe sablon/calibru este trecuta corect in ordin, la fel ca in planul de verificare, si se respecta la post.</v>
      </c>
      <c r="C44" s="27" t="str">
        <f>'Audit Checklist'!D38</f>
        <v>Critic</v>
      </c>
      <c r="D44" s="28"/>
      <c r="E44" s="28"/>
      <c r="F44" s="28"/>
      <c r="G44" s="28"/>
    </row>
    <row r="45" spans="1:7" ht="36" x14ac:dyDescent="0.3">
      <c r="A45" s="27">
        <f>'Audit Checklist'!A39</f>
        <v>33</v>
      </c>
      <c r="B45" s="25" t="str">
        <f>'Audit Checklist'!C39</f>
        <v>Piesele produse corespund ordinului deschis: reperul, lotul si cantitatea raportata coincid cu ce este in lada.</v>
      </c>
      <c r="C45" s="27" t="str">
        <f>'Audit Checklist'!D39</f>
        <v>Critic</v>
      </c>
      <c r="D45" s="28"/>
      <c r="E45" s="28"/>
      <c r="F45" s="28"/>
      <c r="G45" s="28"/>
    </row>
    <row r="46" spans="1:7" ht="36" x14ac:dyDescent="0.3">
      <c r="A46" s="27">
        <f>'Audit Checklist'!A40</f>
        <v>34</v>
      </c>
      <c r="B46" s="25" t="str">
        <f>'Audit Checklist'!C40</f>
        <v>Codurile instructiunilor de lucru si de verificare sunt trecute in ordin si actualizate la fel ca pe touchscreen.</v>
      </c>
      <c r="C46" s="27" t="str">
        <f>'Audit Checklist'!D40</f>
        <v>Major</v>
      </c>
      <c r="D46" s="28"/>
      <c r="E46" s="28"/>
      <c r="F46" s="28"/>
      <c r="G46" s="28"/>
    </row>
    <row r="47" spans="1:7" ht="36" x14ac:dyDescent="0.3">
      <c r="A47" s="27">
        <f>'Audit Checklist'!A41</f>
        <v>35</v>
      </c>
      <c r="B47" s="25" t="str">
        <f>'Audit Checklist'!C41</f>
        <v>Monitorizarea orara este completata si figureaza in ordinul de productie sau in format electronic pe thouchscreen.</v>
      </c>
      <c r="C47" s="27" t="str">
        <f>'Audit Checklist'!D41</f>
        <v>Major</v>
      </c>
      <c r="D47" s="28"/>
      <c r="E47" s="28"/>
      <c r="F47" s="28"/>
      <c r="G47" s="28"/>
    </row>
    <row r="48" spans="1:7" ht="36" x14ac:dyDescent="0.3">
      <c r="A48" s="27">
        <f>'Audit Checklist'!A42</f>
        <v>36</v>
      </c>
      <c r="B48" s="25" t="str">
        <f>'Audit Checklist'!C42</f>
        <v>Userii si parolele nu sunt scrise pe hartii sau lasate la vedere la postul de lucru.</v>
      </c>
      <c r="C48" s="27" t="str">
        <f>'Audit Checklist'!D42</f>
        <v>Major</v>
      </c>
      <c r="D48" s="28"/>
      <c r="E48" s="28"/>
      <c r="F48" s="28"/>
      <c r="G48" s="28"/>
    </row>
    <row r="49" spans="1:7" ht="36" x14ac:dyDescent="0.3">
      <c r="A49" s="27">
        <f>'Audit Checklist'!A43</f>
        <v>37</v>
      </c>
      <c r="B49" s="25" t="str">
        <f>'Audit Checklist'!C43</f>
        <v>Oamenii care lucreaza si avizeaza in SAP sunt instruiti si nu apar pe rosu in matricea de calificare.</v>
      </c>
      <c r="C49" s="27" t="str">
        <f>'Audit Checklist'!D43</f>
        <v>Critic</v>
      </c>
      <c r="D49" s="28"/>
      <c r="E49" s="28"/>
      <c r="F49" s="28"/>
      <c r="G49" s="28"/>
    </row>
    <row r="50" spans="1:7" ht="18.75" x14ac:dyDescent="0.3">
      <c r="A50" s="27">
        <f>'Audit Checklist'!A44</f>
        <v>38</v>
      </c>
      <c r="B50" s="25" t="str">
        <f>'Audit Checklist'!C44</f>
        <v>Prima piesa este la panou, avizata in SAP, cu eticheta de status corecta.</v>
      </c>
      <c r="C50" s="27" t="str">
        <f>'Audit Checklist'!D44</f>
        <v>Critic</v>
      </c>
      <c r="D50" s="28"/>
      <c r="E50" s="28"/>
      <c r="F50" s="28"/>
      <c r="G50" s="28"/>
    </row>
    <row r="51" spans="1:7" ht="18.75" x14ac:dyDescent="0.3">
      <c r="A51" s="27">
        <f>'Audit Checklist'!A45</f>
        <v>39</v>
      </c>
      <c r="B51" s="25" t="str">
        <f>'Audit Checklist'!C45</f>
        <v>Lerele si calibrele au eticheta de avizare in termen.</v>
      </c>
      <c r="C51" s="27" t="str">
        <f>'Audit Checklist'!D45</f>
        <v>Critic</v>
      </c>
      <c r="D51" s="28"/>
      <c r="E51" s="28"/>
      <c r="F51" s="28"/>
      <c r="G51" s="28"/>
    </row>
    <row r="52" spans="1:7" ht="36" x14ac:dyDescent="0.3">
      <c r="A52" s="27">
        <f>'Audit Checklist'!A46</f>
        <v>40</v>
      </c>
      <c r="B52" s="25" t="str">
        <f>'Audit Checklist'!C46</f>
        <v>Formularele de mentenanta preventiva si verificarile Safety zilnice sunt completate si semnate la zi.</v>
      </c>
      <c r="C52" s="27" t="str">
        <f>'Audit Checklist'!D46</f>
        <v>Major</v>
      </c>
      <c r="D52" s="28"/>
      <c r="E52" s="28"/>
      <c r="F52" s="28"/>
      <c r="G52" s="28"/>
    </row>
    <row r="53" spans="1:7" ht="36" x14ac:dyDescent="0.3">
      <c r="A53" s="27">
        <f>'Audit Checklist'!A47</f>
        <v>41</v>
      </c>
      <c r="B53" s="25" t="str">
        <f>'Audit Checklist'!C47</f>
        <v>Rebuturile: identificate cu tipul defectului, etichetate, puse in lada rosie, iar defectul vizual marcat cu rosu.</v>
      </c>
      <c r="C53" s="27" t="str">
        <f>'Audit Checklist'!D47</f>
        <v>Critic</v>
      </c>
      <c r="D53" s="28"/>
      <c r="E53" s="28"/>
      <c r="F53" s="28"/>
      <c r="G53" s="28"/>
    </row>
    <row r="54" spans="1:7" ht="36" x14ac:dyDescent="0.3">
      <c r="A54" s="27">
        <f>'Audit Checklist'!A48</f>
        <v>42</v>
      </c>
      <c r="B54" s="25" t="str">
        <f>'Audit Checklist'!C48</f>
        <v>Instructiunea de lucru si cea de verificare de la post de lucru sunt la ultima versiune aprobata.</v>
      </c>
      <c r="C54" s="27" t="str">
        <f>'Audit Checklist'!D48</f>
        <v>Critic</v>
      </c>
      <c r="D54" s="28"/>
      <c r="E54" s="28"/>
      <c r="F54" s="28"/>
      <c r="G54" s="28"/>
    </row>
    <row r="55" spans="1:7" ht="36" x14ac:dyDescent="0.3">
      <c r="A55" s="27">
        <f>'Audit Checklist'!A49</f>
        <v>43</v>
      </c>
      <c r="B55" s="25" t="str">
        <f>'Audit Checklist'!C49</f>
        <v>Mostrele de defecte vizuale sunt la post, identificate si in termen.</v>
      </c>
      <c r="C55" s="27" t="str">
        <f>'Audit Checklist'!D49</f>
        <v>Major</v>
      </c>
      <c r="D55" s="28"/>
      <c r="E55" s="28"/>
      <c r="F55" s="28"/>
      <c r="G55" s="28"/>
    </row>
    <row r="56" spans="1:7" ht="36" x14ac:dyDescent="0.3">
      <c r="A56" s="27">
        <f>'Audit Checklist'!A50</f>
        <v>44</v>
      </c>
      <c r="B56" s="25" t="str">
        <f>'Audit Checklist'!C50</f>
        <v>Exista studii MSA / R&amp;R valabile pentru mijloacele de masurare(subler, ruleta,cantare, etc), inclusiv lere si calibre avizate de CM.</v>
      </c>
      <c r="C56" s="27" t="str">
        <f>'Audit Checklist'!D50</f>
        <v>Major</v>
      </c>
      <c r="D56" s="28"/>
      <c r="E56" s="28"/>
      <c r="F56" s="28"/>
      <c r="G56" s="28"/>
    </row>
    <row r="57" spans="1:7" ht="36" x14ac:dyDescent="0.3">
      <c r="A57" s="27">
        <f>'Audit Checklist'!A51</f>
        <v>45</v>
      </c>
      <c r="B57" s="25" t="str">
        <f>'Audit Checklist'!C51</f>
        <v>Verificarile din timpul productiei se fac la frecventa din planul de verificare si sunt inregistrate complet.</v>
      </c>
      <c r="C57" s="27" t="str">
        <f>'Audit Checklist'!D51</f>
        <v>Critic</v>
      </c>
      <c r="D57" s="28"/>
      <c r="E57" s="28"/>
      <c r="F57" s="28"/>
      <c r="G57" s="28"/>
    </row>
    <row r="58" spans="1:7" ht="36" x14ac:dyDescent="0.3">
      <c r="A58" s="27">
        <f>'Audit Checklist'!A52</f>
        <v>46</v>
      </c>
      <c r="B58" s="25" t="str">
        <f>'Audit Checklist'!C52</f>
        <v>Piesa mostra este etichetata conform procedurii si nu are defecte.</v>
      </c>
      <c r="C58" s="27" t="str">
        <f>'Audit Checklist'!D52</f>
        <v>Major</v>
      </c>
      <c r="D58" s="28"/>
      <c r="E58" s="28"/>
      <c r="F58" s="28"/>
      <c r="G58" s="28"/>
    </row>
    <row r="59" spans="1:7" ht="36" x14ac:dyDescent="0.3">
      <c r="A59" s="27">
        <f>'Audit Checklist'!A53</f>
        <v>47</v>
      </c>
      <c r="B59" s="25" t="str">
        <f>'Audit Checklist'!C53</f>
        <v>Avizarea dupa reglaj sau schimbare de reper este documentata, iar piesele din timpul reglajului sunt separate.</v>
      </c>
      <c r="C59" s="27" t="str">
        <f>'Audit Checklist'!D53</f>
        <v>Critic</v>
      </c>
      <c r="D59" s="28"/>
      <c r="E59" s="28"/>
      <c r="F59" s="28"/>
      <c r="G59" s="28"/>
    </row>
    <row r="60" spans="1:7" ht="36" x14ac:dyDescent="0.3">
      <c r="A60" s="27">
        <f>'Audit Checklist'!A54</f>
        <v>48</v>
      </c>
      <c r="B60" s="25" t="str">
        <f>'Audit Checklist'!C54</f>
        <v>Planul de reactie este afisat pe touchscreen si operatorul stie ca se blocheaza lotul de la ultima piesa buna.</v>
      </c>
      <c r="C60" s="27" t="str">
        <f>'Audit Checklist'!D54</f>
        <v>Critic</v>
      </c>
      <c r="D60" s="28"/>
      <c r="E60" s="28"/>
      <c r="F60" s="28"/>
      <c r="G60" s="28"/>
    </row>
    <row r="61" spans="1:7" ht="36" x14ac:dyDescent="0.3">
      <c r="A61" s="27">
        <f>'Audit Checklist'!A55</f>
        <v>49</v>
      </c>
      <c r="B61" s="25" t="str">
        <f>'Audit Checklist'!C55</f>
        <v>Materia prima este identificata, FIFO respectat, iar loturile corespund comenzii in lucru.</v>
      </c>
      <c r="C61" s="27" t="str">
        <f>'Audit Checklist'!D55</f>
        <v>Major</v>
      </c>
      <c r="D61" s="28"/>
      <c r="E61" s="28"/>
      <c r="F61" s="28"/>
      <c r="G61" s="28"/>
    </row>
    <row r="62" spans="1:7" ht="18.75" x14ac:dyDescent="0.3">
      <c r="A62" s="27">
        <f>'Audit Checklist'!A56</f>
        <v>50</v>
      </c>
      <c r="B62" s="25" t="str">
        <f>'Audit Checklist'!C56</f>
        <v>Piesele suspecte sau pt decizie stau in zona de blocate, delimitata si sub control.</v>
      </c>
      <c r="C62" s="27" t="str">
        <f>'Audit Checklist'!D56</f>
        <v>Critic</v>
      </c>
      <c r="D62" s="28"/>
      <c r="E62" s="28"/>
      <c r="F62" s="28"/>
      <c r="G62" s="28"/>
    </row>
    <row r="63" spans="1:7" ht="36" x14ac:dyDescent="0.3">
      <c r="A63" s="27">
        <f>'Audit Checklist'!A57</f>
        <v>51</v>
      </c>
      <c r="B63" s="25" t="str">
        <f>'Audit Checklist'!C57</f>
        <v>Inregistrarile de calitate se pastreaza cum cere clientul: durata, format, acces.</v>
      </c>
      <c r="C63" s="27" t="str">
        <f>'Audit Checklist'!D57</f>
        <v>Major</v>
      </c>
      <c r="D63" s="28"/>
      <c r="E63" s="28"/>
      <c r="F63" s="28"/>
      <c r="G63" s="28"/>
    </row>
    <row r="64" spans="1:7" ht="36" x14ac:dyDescent="0.3">
      <c r="A64" s="27">
        <f>'Audit Checklist'!A58</f>
        <v>52</v>
      </c>
      <c r="B64" s="25" t="str">
        <f>'Audit Checklist'!C58</f>
        <v>Lipire:se verifica presiunea de gaz,apa si aer sa fie  conforme, parametrii sa fie dupa fisa,</v>
      </c>
      <c r="C64" s="27" t="str">
        <f>'Audit Checklist'!D58</f>
        <v>Critic</v>
      </c>
      <c r="D64" s="28"/>
      <c r="E64" s="28"/>
      <c r="F64" s="28"/>
      <c r="G64" s="28"/>
    </row>
    <row r="65" spans="1:7" ht="36" x14ac:dyDescent="0.3">
      <c r="A65" s="27">
        <f>'Audit Checklist'!A59</f>
        <v>53</v>
      </c>
      <c r="B65" s="25" t="str">
        <f>'Audit Checklist'!C59</f>
        <v>La deviatia parametrilor operatorul stie si aplica reactia: alarma, oprire, separarea materialului din intervalul afectat.</v>
      </c>
      <c r="C65" s="27" t="str">
        <f>'Audit Checklist'!D59</f>
        <v>Critic</v>
      </c>
      <c r="D65" s="28"/>
      <c r="E65" s="28"/>
      <c r="F65" s="28"/>
      <c r="G65" s="28"/>
    </row>
    <row r="66" spans="1:7" ht="36" x14ac:dyDescent="0.3">
      <c r="A66" s="27">
        <f>'Audit Checklist'!A60</f>
        <v>54</v>
      </c>
      <c r="B66" s="25" t="str">
        <f>'Audit Checklist'!C60</f>
        <v>Indoire tevi: ovalitate, raze si lipsa fisurilor verificate conform desenului si instructiunii de verificare.</v>
      </c>
      <c r="C66" s="27" t="str">
        <f>'Audit Checklist'!D60</f>
        <v>Major</v>
      </c>
      <c r="D66" s="28"/>
      <c r="E66" s="28"/>
      <c r="F66" s="28"/>
      <c r="G66" s="28"/>
    </row>
    <row r="67" spans="1:7" ht="36" x14ac:dyDescent="0.3">
      <c r="A67" s="27">
        <f>'Audit Checklist'!A61</f>
        <v>55</v>
      </c>
      <c r="B67" s="25" t="str">
        <f>'Audit Checklist'!C61</f>
        <v>Scule dinamometrice calibrate si in termen, program potrivit reperului, rezultate OK/NOK arhivate.</v>
      </c>
      <c r="C67" s="27" t="str">
        <f>'Audit Checklist'!D61</f>
        <v>Critic</v>
      </c>
      <c r="D67" s="28"/>
      <c r="E67" s="28"/>
      <c r="F67" s="28"/>
      <c r="G67" s="28"/>
    </row>
    <row r="68" spans="1:7" ht="36" x14ac:dyDescent="0.3">
      <c r="A68" s="27">
        <f>'Audit Checklist'!A62</f>
        <v>56</v>
      </c>
      <c r="B68" s="25" t="str">
        <f>'Audit Checklist'!C62</f>
        <v>La manipulare se protejeaza zonele de etansare si filetele: manusi, fara contact metal-metal, fara asezare directa pe suprafete neprotejate.</v>
      </c>
      <c r="C68" s="27" t="str">
        <f>'Audit Checklist'!D62</f>
        <v>Critic</v>
      </c>
      <c r="D68" s="28"/>
      <c r="E68" s="28"/>
      <c r="F68" s="28"/>
      <c r="G68" s="28"/>
    </row>
    <row r="69" spans="1:7" ht="18.75" x14ac:dyDescent="0.3">
      <c r="A69" s="29"/>
      <c r="B69" s="30"/>
      <c r="C69" s="30"/>
      <c r="D69" s="30"/>
      <c r="E69" s="30"/>
      <c r="F69" s="30"/>
      <c r="G69" s="31"/>
    </row>
    <row r="70" spans="1:7" ht="18" x14ac:dyDescent="0.25">
      <c r="A70" s="55" t="s">
        <v>112</v>
      </c>
      <c r="B70" s="56"/>
      <c r="C70" s="56"/>
      <c r="D70" s="56"/>
      <c r="E70" s="56"/>
      <c r="F70" s="56"/>
      <c r="G70" s="57"/>
    </row>
    <row r="71" spans="1:7" ht="18.75" x14ac:dyDescent="0.3">
      <c r="A71" s="32"/>
      <c r="B71" s="33"/>
      <c r="C71" s="33"/>
      <c r="D71" s="33"/>
      <c r="E71" s="33"/>
      <c r="F71" s="33"/>
      <c r="G71" s="34"/>
    </row>
    <row r="72" spans="1:7" ht="18" x14ac:dyDescent="0.25">
      <c r="A72" s="58" t="s">
        <v>93</v>
      </c>
      <c r="B72" s="59"/>
      <c r="C72" s="59"/>
      <c r="D72" s="59"/>
      <c r="E72" s="59"/>
      <c r="F72" s="59"/>
      <c r="G72" s="60"/>
    </row>
    <row r="73" spans="1:7" ht="18.75" x14ac:dyDescent="0.3">
      <c r="A73" s="51"/>
      <c r="B73" s="52"/>
      <c r="C73" s="52"/>
      <c r="D73" s="52"/>
      <c r="E73" s="52"/>
      <c r="F73" s="52"/>
      <c r="G73" s="53"/>
    </row>
  </sheetData>
  <mergeCells count="27">
    <mergeCell ref="A1:G1"/>
    <mergeCell ref="A2:B2"/>
    <mergeCell ref="C2:D2"/>
    <mergeCell ref="E2:G2"/>
    <mergeCell ref="A3:B3"/>
    <mergeCell ref="C3:D3"/>
    <mergeCell ref="E3:G3"/>
    <mergeCell ref="A4:B4"/>
    <mergeCell ref="C4:D4"/>
    <mergeCell ref="E4:G4"/>
    <mergeCell ref="A5:B5"/>
    <mergeCell ref="C5:D5"/>
    <mergeCell ref="E5:G5"/>
    <mergeCell ref="A6:B6"/>
    <mergeCell ref="C6:G6"/>
    <mergeCell ref="A7:B7"/>
    <mergeCell ref="C7:G7"/>
    <mergeCell ref="A10:G10"/>
    <mergeCell ref="A73:B73"/>
    <mergeCell ref="C73:E73"/>
    <mergeCell ref="F73:G73"/>
    <mergeCell ref="A25:G25"/>
    <mergeCell ref="A37:G37"/>
    <mergeCell ref="A70:G70"/>
    <mergeCell ref="A72:B72"/>
    <mergeCell ref="C72:E72"/>
    <mergeCell ref="F72:G72"/>
  </mergeCells>
  <pageMargins left="0.4" right="0.3" top="0.4" bottom="0.5" header="0.511811023622047" footer="0.5"/>
  <pageSetup paperSize="9" scale="61" fitToHeight="0" orientation="portrait" r:id="rId1"/>
  <headerFooter>
    <oddFooter>&amp;LChecklist Audit Preasamblare&amp;C_x000D_&amp;1#&amp;"Aptos"&amp;8&amp;K000000 Internal&amp;RPagina &amp;P din &amp;N</oddFooter>
  </headerFooter>
</worksheet>
</file>

<file path=docMetadata/LabelInfo.xml><?xml version="1.0" encoding="utf-8"?>
<clbl:labelList xmlns:clbl="http://schemas.microsoft.com/office/2020/mipLabelMetadata">
  <clbl:label id="{d0dd9aab-06f8-4a45-97d2-8b4742a52695}" enabled="1" method="Standard" siteId="{5c904887-9347-4183-bc19-a2068b519da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Foi de lucru</vt:lpstr>
      </vt:variant>
      <vt:variant>
        <vt:i4>3</vt:i4>
      </vt:variant>
      <vt:variant>
        <vt:lpstr>Zone denumite</vt:lpstr>
      </vt:variant>
      <vt:variant>
        <vt:i4>4</vt:i4>
      </vt:variant>
    </vt:vector>
  </HeadingPairs>
  <TitlesOfParts>
    <vt:vector size="7" baseType="lpstr">
      <vt:lpstr>Audit Checklist</vt:lpstr>
      <vt:lpstr>Sumar Scor</vt:lpstr>
      <vt:lpstr>Print A4</vt:lpstr>
      <vt:lpstr>'Audit Checklist'!Imprimare_titluri</vt:lpstr>
      <vt:lpstr>'Print A4'!Imprimare_titluri</vt:lpstr>
      <vt:lpstr>'Audit Checklist'!Zona_de_imprimat</vt:lpstr>
      <vt:lpstr>'Print A4'!Zona_de_imprimat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Ovidiu Silea</cp:lastModifiedBy>
  <cp:revision>0</cp:revision>
  <cp:lastPrinted>2026-09-01T09:52:27Z</cp:lastPrinted>
  <dcterms:created xsi:type="dcterms:W3CDTF">2026-09-01T06:41:21Z</dcterms:created>
  <dcterms:modified xsi:type="dcterms:W3CDTF">2026-09-02T17:28:52Z</dcterms:modified>
  <dc:language>en-US</dc:language>
</cp:coreProperties>
</file>